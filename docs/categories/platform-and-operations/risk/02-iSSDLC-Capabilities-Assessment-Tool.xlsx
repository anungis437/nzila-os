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hidePivotFieldList="1"/>
  <xr:revisionPtr revIDLastSave="1" documentId="8_{9913244A-FAB9-4957-A387-EC76B8824F6B}" xr6:coauthVersionLast="47" xr6:coauthVersionMax="47" xr10:uidLastSave="{2A2427DA-863F-4BEA-956E-39BE31DAA797}"/>
  <bookViews>
    <workbookView xWindow="2070" yWindow="915" windowWidth="25500" windowHeight="14565" tabRatio="866" xr2:uid="{0FA5BEB5-3819-4C9E-A604-940A367A4D34}"/>
  </bookViews>
  <sheets>
    <sheet name="1. Introduction" sheetId="1" r:id="rId1"/>
    <sheet name="2. Setup" sheetId="18" r:id="rId2"/>
    <sheet name="3. Goals" sheetId="2" r:id="rId3"/>
    <sheet name="4. Capabilities Assessment" sheetId="7" r:id="rId4"/>
    <sheet name="5. Initiative List" sheetId="17" r:id="rId5"/>
    <sheet name="6. Prioritization" sheetId="16" r:id="rId6"/>
    <sheet name="7. Gantt Chart" sheetId="10" r:id="rId7"/>
    <sheet name="8. Results" sheetId="11" r:id="rId8"/>
    <sheet name="9. List &amp; Calc" sheetId="5" state="hidden" r:id="rId9"/>
    <sheet name="10. Capability Matrix" sheetId="13" state="hidden" r:id="rId10"/>
  </sheets>
  <externalReferences>
    <externalReference r:id="rId11"/>
    <externalReference r:id="rId12"/>
    <externalReference r:id="rId13"/>
    <externalReference r:id="rId14"/>
  </externalReferences>
  <definedNames>
    <definedName name="_xlnm._FilterDatabase" localSheetId="6" hidden="1">'7. Gantt Chart'!$D$7:$E$7</definedName>
    <definedName name="ComplianceList" localSheetId="1">OFFSET('[1]8. Control DB'!$D$6,0,0,COUNTA('[1]8. Control DB'!$D$6:$D$25),1)</definedName>
    <definedName name="ComplianceList">OFFSET('[2]8. Control DB'!$D$6,0,0,COUNTA('[2]8. Control DB'!$D$6:$D$25),1)</definedName>
    <definedName name="ControlsPerEnv" localSheetId="1">OFFSET('[1]9. Lists &amp; Calcs (Hidden)'!$B$81,0,0,5-COUNTBLANK('[1]9. Lists &amp; Calcs (Hidden)'!$B$81:$B$85),1)</definedName>
    <definedName name="ControlsPerEnv">OFFSET('[2]9. Lists &amp; Calcs (Hidden)'!$B$81,0,0,5-COUNTBLANK('[2]9. Lists &amp; Calcs (Hidden)'!$B$81:$B$85),1)</definedName>
    <definedName name="ControlsPerEnv2" localSheetId="1">OFFSET('[1]9. Lists &amp; Calcs (Hidden)'!$C$81,0,0,5-COUNTBLANK('[1]9. Lists &amp; Calcs (Hidden)'!$C$81:$C$85),1)</definedName>
    <definedName name="ControlsPerEnv2">OFFSET('[2]9. Lists &amp; Calcs (Hidden)'!$C$81,0,0,5-COUNTBLANK('[2]9. Lists &amp; Calcs (Hidden)'!$C$81:$C$85),1)</definedName>
    <definedName name="ControlsPerOb" localSheetId="1">OFFSET('[1]9. Lists &amp; Calcs (Hidden)'!$B$88,0,0,10-COUNTBLANK('[1]9. Lists &amp; Calcs (Hidden)'!$B$88:$B$97),1)</definedName>
    <definedName name="ControlsPerOb">OFFSET('[2]9. Lists &amp; Calcs (Hidden)'!$B$88,0,0,10-COUNTBLANK('[2]9. Lists &amp; Calcs (Hidden)'!$B$88:$B$97),1)</definedName>
    <definedName name="ControlsPerOb2" localSheetId="1">OFFSET('[1]9. Lists &amp; Calcs (Hidden)'!$C$88,0,0,10-COUNTBLANK('[1]9. Lists &amp; Calcs (Hidden)'!$C$88:$C$97),1)</definedName>
    <definedName name="ControlsPerOb2">OFFSET('[2]9. Lists &amp; Calcs (Hidden)'!$C$88,0,0,10-COUNTBLANK('[2]9. Lists &amp; Calcs (Hidden)'!$C$88:$C$97),1)</definedName>
    <definedName name="EnvironmentList" localSheetId="1">OFFSET('[1]9. Lists &amp; Calcs (Hidden)'!$D$8,0,0,6-COUNTBLANK('[1]9. Lists &amp; Calcs (Hidden)'!$D$8:$D$13),1)</definedName>
    <definedName name="EnvironmentList">OFFSET('[2]9. Lists &amp; Calcs (Hidden)'!$D$8,0,0,6-COUNTBLANK('[2]9. Lists &amp; Calcs (Hidden)'!$D$8:$D$13),1)</definedName>
    <definedName name="InitiativeList" localSheetId="1">OFFSET('[3]5. Initiative List'!$C$6,0,0,COUNTA('[3]5. Initiative List'!$C$6:$C$105),1)</definedName>
    <definedName name="InitiativeList">OFFSET('[4]5. Initiative List'!$C$6,0,0,COUNTA('[4]5. Initiative List'!$C$6:$C$105),1)</definedName>
    <definedName name="InitiativeNames">'5. Initiative List'!$C$6:$C$45</definedName>
    <definedName name="ObsPerEnv" localSheetId="1">OFFSET('[1]9. Lists &amp; Calcs (Hidden)'!$B$58,0,0,5-COUNTBLANK('[1]9. Lists &amp; Calcs (Hidden)'!$B$58:$B$62),1)</definedName>
    <definedName name="ObsPerEnv">OFFSET('[2]9. Lists &amp; Calcs (Hidden)'!$B$58,0,0,5-COUNTBLANK('[2]9. Lists &amp; Calcs (Hidden)'!$B$58:$B$62),1)</definedName>
    <definedName name="ObsPerEnv2" localSheetId="1">OFFSET('[1]9. Lists &amp; Calcs (Hidden)'!$C$58,0,0,5-COUNTBLANK('[1]9. Lists &amp; Calcs (Hidden)'!$C$58:$C$62),1)</definedName>
    <definedName name="ObsPerEnv2">OFFSET('[2]9. Lists &amp; Calcs (Hidden)'!$C$58,0,0,5-COUNTBLANK('[2]9. Lists &amp; Calcs (Hidden)'!$C$58:$C$62),1)</definedName>
  </definedNames>
  <calcPr calcId="191028"/>
  <pivotCaches>
    <pivotCache cacheId="1"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6" i="11" l="1"/>
  <c r="F58" i="5" l="1"/>
  <c r="E58" i="5"/>
  <c r="G58" i="5" s="1"/>
  <c r="H29" i="2" l="1"/>
  <c r="H6" i="2"/>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02" i="11"/>
  <c r="M226" i="5"/>
  <c r="L226" i="5"/>
  <c r="K226" i="5"/>
  <c r="J226" i="5"/>
  <c r="I226" i="5"/>
  <c r="H226" i="5"/>
  <c r="H246" i="5" l="1" a="1"/>
  <c r="H246" i="5" s="1"/>
  <c r="H247" i="5" a="1"/>
  <c r="H247" i="5" s="1"/>
  <c r="H248" i="5" a="1"/>
  <c r="H248" i="5" s="1"/>
  <c r="H254" i="5" a="1"/>
  <c r="H254" i="5" s="1"/>
  <c r="H255" i="5" a="1"/>
  <c r="H255" i="5" s="1"/>
  <c r="H256" i="5" a="1"/>
  <c r="H256" i="5" s="1"/>
  <c r="H262" i="5" a="1"/>
  <c r="H262" i="5" s="1"/>
  <c r="H263" i="5" a="1"/>
  <c r="H263" i="5" s="1"/>
  <c r="G230" i="5" a="1"/>
  <c r="G230" i="5" s="1"/>
  <c r="G238" i="5" a="1"/>
  <c r="G238" i="5" s="1"/>
  <c r="G242" i="5" a="1"/>
  <c r="G242" i="5" s="1"/>
  <c r="I242" i="5" s="1" a="1"/>
  <c r="I242" i="5" s="1"/>
  <c r="G262" i="5" a="1"/>
  <c r="G262" i="5" s="1"/>
  <c r="I262" i="5" s="1" a="1"/>
  <c r="I262" i="5" s="1"/>
  <c r="G266" i="5" a="1"/>
  <c r="G266" i="5" s="1"/>
  <c r="I266" i="5" s="1" a="1"/>
  <c r="I266" i="5" s="1"/>
  <c r="F228" i="5"/>
  <c r="F229" i="5"/>
  <c r="F230" i="5"/>
  <c r="F231" i="5"/>
  <c r="F232" i="5"/>
  <c r="F233" i="5"/>
  <c r="F234" i="5"/>
  <c r="G234" i="5" s="1" a="1"/>
  <c r="G234" i="5" s="1"/>
  <c r="F235" i="5"/>
  <c r="F236" i="5"/>
  <c r="F237" i="5"/>
  <c r="F238" i="5"/>
  <c r="F239" i="5"/>
  <c r="F240" i="5"/>
  <c r="F241" i="5"/>
  <c r="G241" i="5" s="1" a="1"/>
  <c r="G241" i="5" s="1"/>
  <c r="F242" i="5"/>
  <c r="H242" i="5" s="1" a="1"/>
  <c r="H242" i="5" s="1"/>
  <c r="F243" i="5"/>
  <c r="G243" i="5" s="1" a="1"/>
  <c r="G243" i="5" s="1"/>
  <c r="I243" i="5" s="1" a="1"/>
  <c r="I243" i="5" s="1"/>
  <c r="F244" i="5"/>
  <c r="G244" i="5" s="1" a="1"/>
  <c r="G244" i="5" s="1"/>
  <c r="I244" i="5" s="1" a="1"/>
  <c r="I244" i="5" s="1"/>
  <c r="F245" i="5"/>
  <c r="G245" i="5" s="1" a="1"/>
  <c r="G245" i="5" s="1"/>
  <c r="I245" i="5" s="1" a="1"/>
  <c r="I245" i="5" s="1"/>
  <c r="F246" i="5"/>
  <c r="G246" i="5" s="1" a="1"/>
  <c r="G246" i="5" s="1"/>
  <c r="I246" i="5" s="1" a="1"/>
  <c r="I246" i="5" s="1"/>
  <c r="F247" i="5"/>
  <c r="G247" i="5" s="1" a="1"/>
  <c r="G247" i="5" s="1"/>
  <c r="I247" i="5" s="1" a="1"/>
  <c r="I247" i="5" s="1"/>
  <c r="F248" i="5"/>
  <c r="G248" i="5" s="1" a="1"/>
  <c r="G248" i="5" s="1"/>
  <c r="I248" i="5" s="1" a="1"/>
  <c r="I248" i="5" s="1"/>
  <c r="F249" i="5"/>
  <c r="G249" i="5" s="1" a="1"/>
  <c r="G249" i="5" s="1"/>
  <c r="I249" i="5" s="1" a="1"/>
  <c r="I249" i="5" s="1"/>
  <c r="F250" i="5"/>
  <c r="H250" i="5" s="1" a="1"/>
  <c r="H250" i="5" s="1"/>
  <c r="F251" i="5"/>
  <c r="G251" i="5" s="1" a="1"/>
  <c r="G251" i="5" s="1"/>
  <c r="I251" i="5" s="1" a="1"/>
  <c r="I251" i="5" s="1"/>
  <c r="F252" i="5"/>
  <c r="G252" i="5" s="1" a="1"/>
  <c r="G252" i="5" s="1"/>
  <c r="I252" i="5" s="1" a="1"/>
  <c r="I252" i="5" s="1"/>
  <c r="F253" i="5"/>
  <c r="G253" i="5" s="1" a="1"/>
  <c r="G253" i="5" s="1"/>
  <c r="I253" i="5" s="1" a="1"/>
  <c r="I253" i="5" s="1"/>
  <c r="F254" i="5"/>
  <c r="G254" i="5" s="1" a="1"/>
  <c r="G254" i="5" s="1"/>
  <c r="I254" i="5" s="1" a="1"/>
  <c r="I254" i="5" s="1"/>
  <c r="F255" i="5"/>
  <c r="G255" i="5" s="1" a="1"/>
  <c r="G255" i="5" s="1"/>
  <c r="I255" i="5" s="1" a="1"/>
  <c r="I255" i="5" s="1"/>
  <c r="F256" i="5"/>
  <c r="G256" i="5" s="1" a="1"/>
  <c r="G256" i="5" s="1"/>
  <c r="I256" i="5" s="1" a="1"/>
  <c r="I256" i="5" s="1"/>
  <c r="F257" i="5"/>
  <c r="G257" i="5" s="1" a="1"/>
  <c r="G257" i="5" s="1"/>
  <c r="I257" i="5" s="1" a="1"/>
  <c r="I257" i="5" s="1"/>
  <c r="F258" i="5"/>
  <c r="H258" i="5" s="1" a="1"/>
  <c r="H258" i="5" s="1"/>
  <c r="F259" i="5"/>
  <c r="G259" i="5" s="1" a="1"/>
  <c r="G259" i="5" s="1"/>
  <c r="I259" i="5" s="1" a="1"/>
  <c r="I259" i="5" s="1"/>
  <c r="F260" i="5"/>
  <c r="G260" i="5" s="1" a="1"/>
  <c r="G260" i="5" s="1"/>
  <c r="I260" i="5" s="1" a="1"/>
  <c r="I260" i="5" s="1"/>
  <c r="F261" i="5"/>
  <c r="G261" i="5" s="1" a="1"/>
  <c r="G261" i="5" s="1"/>
  <c r="I261" i="5" s="1" a="1"/>
  <c r="I261" i="5" s="1"/>
  <c r="F262" i="5"/>
  <c r="F263" i="5"/>
  <c r="G263" i="5" s="1" a="1"/>
  <c r="G263" i="5" s="1"/>
  <c r="I263" i="5" s="1" a="1"/>
  <c r="I263" i="5" s="1"/>
  <c r="F264" i="5"/>
  <c r="G264" i="5" s="1" a="1"/>
  <c r="G264" i="5" s="1"/>
  <c r="I264" i="5" s="1" a="1"/>
  <c r="I264" i="5" s="1"/>
  <c r="F265" i="5"/>
  <c r="G265" i="5" s="1" a="1"/>
  <c r="G265" i="5" s="1"/>
  <c r="I265" i="5" s="1" a="1"/>
  <c r="I265" i="5" s="1"/>
  <c r="F266" i="5"/>
  <c r="H266" i="5" s="1" a="1"/>
  <c r="H266" i="5" s="1"/>
  <c r="F227" i="5"/>
  <c r="AC201" i="11"/>
  <c r="Z201" i="11"/>
  <c r="W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T201" i="11"/>
  <c r="Q201" i="11"/>
  <c r="K262" i="5" l="1" a="1"/>
  <c r="K262" i="5" s="1"/>
  <c r="W237" i="11" s="1"/>
  <c r="Q237" i="11"/>
  <c r="K263" i="5" a="1"/>
  <c r="K263" i="5" s="1"/>
  <c r="W238" i="11" s="1"/>
  <c r="Q238" i="11"/>
  <c r="K255" i="5" a="1"/>
  <c r="K255" i="5" s="1"/>
  <c r="M255" i="5" s="1" a="1"/>
  <c r="M255" i="5" s="1"/>
  <c r="AC230" i="11" s="1"/>
  <c r="Q230" i="11"/>
  <c r="K254" i="5" a="1"/>
  <c r="K254" i="5" s="1"/>
  <c r="M254" i="5" s="1" a="1"/>
  <c r="M254" i="5" s="1"/>
  <c r="AC229" i="11" s="1"/>
  <c r="Q229" i="11"/>
  <c r="J266" i="5" a="1"/>
  <c r="J266" i="5" s="1"/>
  <c r="N241" i="11"/>
  <c r="J258" i="5" a="1"/>
  <c r="J258" i="5" s="1"/>
  <c r="N233" i="11"/>
  <c r="J250" i="5" a="1"/>
  <c r="J250" i="5" s="1"/>
  <c r="N225" i="11"/>
  <c r="J242" i="5" a="1"/>
  <c r="J242" i="5" s="1"/>
  <c r="N217" i="11"/>
  <c r="K249" i="5" a="1"/>
  <c r="K249" i="5" s="1"/>
  <c r="M249" i="5" s="1" a="1"/>
  <c r="M249" i="5" s="1"/>
  <c r="AC224" i="11" s="1"/>
  <c r="Q224" i="11"/>
  <c r="K242" i="5" a="1"/>
  <c r="K242" i="5" s="1"/>
  <c r="W217" i="11" s="1"/>
  <c r="Q217" i="11"/>
  <c r="K246" i="5" a="1"/>
  <c r="K246" i="5" s="1"/>
  <c r="M246" i="5" s="1" a="1"/>
  <c r="M246" i="5" s="1"/>
  <c r="AC221" i="11" s="1"/>
  <c r="Q221" i="11"/>
  <c r="K261" i="5" a="1"/>
  <c r="K261" i="5" s="1"/>
  <c r="W236" i="11" s="1"/>
  <c r="Q236" i="11"/>
  <c r="J255" i="5" a="1"/>
  <c r="J255" i="5" s="1"/>
  <c r="N230" i="11"/>
  <c r="K259" i="5" a="1"/>
  <c r="K259" i="5" s="1"/>
  <c r="M259" i="5" s="1" a="1"/>
  <c r="M259" i="5" s="1"/>
  <c r="AC234" i="11" s="1"/>
  <c r="Q234" i="11"/>
  <c r="K243" i="5" a="1"/>
  <c r="K243" i="5" s="1"/>
  <c r="M243" i="5" s="1" a="1"/>
  <c r="M243" i="5" s="1"/>
  <c r="AC218" i="11" s="1"/>
  <c r="Q218" i="11"/>
  <c r="K266" i="5" a="1"/>
  <c r="K266" i="5" s="1"/>
  <c r="M266" i="5" s="1" a="1"/>
  <c r="M266" i="5" s="1"/>
  <c r="AC241" i="11" s="1"/>
  <c r="Q241" i="11"/>
  <c r="J254" i="5" a="1"/>
  <c r="J254" i="5" s="1"/>
  <c r="N229" i="11"/>
  <c r="G258" i="5" a="1"/>
  <c r="G258" i="5" s="1"/>
  <c r="I258" i="5" s="1" a="1"/>
  <c r="I258" i="5" s="1"/>
  <c r="H252" i="5" a="1"/>
  <c r="H252" i="5" s="1"/>
  <c r="H244" i="5" a="1"/>
  <c r="H244" i="5" s="1"/>
  <c r="K253" i="5" a="1"/>
  <c r="K253" i="5" s="1"/>
  <c r="M253" i="5" s="1" a="1"/>
  <c r="M253" i="5" s="1"/>
  <c r="AC228" i="11" s="1"/>
  <c r="Q228" i="11"/>
  <c r="J263" i="5" a="1"/>
  <c r="J263" i="5" s="1"/>
  <c r="N238" i="11"/>
  <c r="J256" i="5" a="1"/>
  <c r="J256" i="5" s="1"/>
  <c r="N231" i="11"/>
  <c r="J248" i="5" a="1"/>
  <c r="J248" i="5" s="1"/>
  <c r="N223" i="11"/>
  <c r="K260" i="5" a="1"/>
  <c r="K260" i="5" s="1"/>
  <c r="W235" i="11" s="1"/>
  <c r="Q235" i="11"/>
  <c r="K252" i="5" a="1"/>
  <c r="K252" i="5" s="1"/>
  <c r="M252" i="5" s="1" a="1"/>
  <c r="M252" i="5" s="1"/>
  <c r="AC227" i="11" s="1"/>
  <c r="Q227" i="11"/>
  <c r="K244" i="5" a="1"/>
  <c r="K244" i="5" s="1"/>
  <c r="M244" i="5" s="1" a="1"/>
  <c r="M244" i="5" s="1"/>
  <c r="AC219" i="11" s="1"/>
  <c r="Q219" i="11"/>
  <c r="J262" i="5" a="1"/>
  <c r="J262" i="5" s="1"/>
  <c r="N237" i="11"/>
  <c r="H260" i="5" a="1"/>
  <c r="H260" i="5" s="1"/>
  <c r="H253" i="5" a="1"/>
  <c r="H253" i="5" s="1"/>
  <c r="H245" i="5" a="1"/>
  <c r="H245" i="5" s="1"/>
  <c r="K257" i="5" a="1"/>
  <c r="K257" i="5" s="1"/>
  <c r="W232" i="11" s="1"/>
  <c r="Q232" i="11"/>
  <c r="K264" i="5" a="1"/>
  <c r="K264" i="5" s="1"/>
  <c r="M264" i="5" s="1" a="1"/>
  <c r="M264" i="5" s="1"/>
  <c r="AC239" i="11" s="1"/>
  <c r="Q239" i="11"/>
  <c r="K256" i="5" a="1"/>
  <c r="K256" i="5" s="1"/>
  <c r="M256" i="5" s="1" a="1"/>
  <c r="M256" i="5" s="1"/>
  <c r="AC231" i="11" s="1"/>
  <c r="Q231" i="11"/>
  <c r="K248" i="5" a="1"/>
  <c r="K248" i="5" s="1"/>
  <c r="M248" i="5" s="1" a="1"/>
  <c r="M248" i="5" s="1"/>
  <c r="AC223" i="11" s="1"/>
  <c r="Q223" i="11"/>
  <c r="H259" i="5" a="1"/>
  <c r="H259" i="5" s="1"/>
  <c r="H251" i="5" a="1"/>
  <c r="H251" i="5" s="1"/>
  <c r="J247" i="5" a="1"/>
  <c r="J247" i="5" s="1"/>
  <c r="N222" i="11"/>
  <c r="K265" i="5" a="1"/>
  <c r="K265" i="5" s="1"/>
  <c r="M265" i="5" s="1" a="1"/>
  <c r="M265" i="5" s="1"/>
  <c r="AC240" i="11" s="1"/>
  <c r="Q240" i="11"/>
  <c r="J246" i="5" a="1"/>
  <c r="J246" i="5" s="1"/>
  <c r="N221" i="11"/>
  <c r="K247" i="5" a="1"/>
  <c r="K247" i="5" s="1"/>
  <c r="M247" i="5" s="1" a="1"/>
  <c r="M247" i="5" s="1"/>
  <c r="AC222" i="11" s="1"/>
  <c r="Q222" i="11"/>
  <c r="G250" i="5" a="1"/>
  <c r="G250" i="5" s="1"/>
  <c r="I250" i="5" s="1" a="1"/>
  <c r="I250" i="5" s="1"/>
  <c r="H265" i="5" a="1"/>
  <c r="H265" i="5" s="1"/>
  <c r="H243" i="5" a="1"/>
  <c r="H243" i="5" s="1"/>
  <c r="H264" i="5" a="1"/>
  <c r="H264" i="5" s="1"/>
  <c r="H257" i="5" a="1"/>
  <c r="H257" i="5" s="1"/>
  <c r="H249" i="5" a="1"/>
  <c r="H249" i="5" s="1"/>
  <c r="K245" i="5" a="1"/>
  <c r="K245" i="5" s="1"/>
  <c r="M245" i="5" s="1" a="1"/>
  <c r="M245" i="5" s="1"/>
  <c r="AC220" i="11" s="1"/>
  <c r="Q220" i="11"/>
  <c r="K251" i="5" a="1"/>
  <c r="K251" i="5" s="1"/>
  <c r="W226" i="11" s="1"/>
  <c r="Q226" i="11"/>
  <c r="H261" i="5" a="1"/>
  <c r="H261" i="5" s="1"/>
  <c r="G237" i="5" a="1"/>
  <c r="G237" i="5" s="1"/>
  <c r="G233" i="5" a="1"/>
  <c r="G233" i="5" s="1"/>
  <c r="G229" i="5" a="1"/>
  <c r="G229" i="5" s="1"/>
  <c r="G240" i="5" a="1"/>
  <c r="G240" i="5" s="1"/>
  <c r="G236" i="5" a="1"/>
  <c r="G236" i="5" s="1"/>
  <c r="G232" i="5" a="1"/>
  <c r="G232" i="5" s="1"/>
  <c r="G228" i="5" a="1"/>
  <c r="G228" i="5" s="1"/>
  <c r="G239" i="5" a="1"/>
  <c r="G239" i="5" s="1"/>
  <c r="G235" i="5" a="1"/>
  <c r="G235" i="5" s="1"/>
  <c r="G231" i="5" a="1"/>
  <c r="G231" i="5" s="1"/>
  <c r="G227" i="5" a="1"/>
  <c r="G227" i="5" s="1"/>
  <c r="N201" i="11"/>
  <c r="I189" i="11"/>
  <c r="I190" i="11"/>
  <c r="I191" i="11"/>
  <c r="I192" i="11"/>
  <c r="I193" i="11"/>
  <c r="I185" i="11"/>
  <c r="I186" i="11"/>
  <c r="I187" i="11"/>
  <c r="I188" i="11"/>
  <c r="I184" i="11"/>
  <c r="F4" i="16"/>
  <c r="W227" i="11" l="1"/>
  <c r="W219" i="11"/>
  <c r="W230" i="11"/>
  <c r="M242" i="5" a="1"/>
  <c r="M242" i="5" s="1"/>
  <c r="AC217" i="11" s="1"/>
  <c r="W229" i="11"/>
  <c r="W231" i="11"/>
  <c r="M261" i="5" a="1"/>
  <c r="M261" i="5" s="1"/>
  <c r="AC236" i="11" s="1"/>
  <c r="M257" i="5" a="1"/>
  <c r="M257" i="5" s="1"/>
  <c r="AC232" i="11" s="1"/>
  <c r="M263" i="5" a="1"/>
  <c r="M263" i="5" s="1"/>
  <c r="AC238" i="11" s="1"/>
  <c r="W220" i="11"/>
  <c r="W223" i="11"/>
  <c r="M262" i="5" a="1"/>
  <c r="M262" i="5" s="1"/>
  <c r="AC237" i="11" s="1"/>
  <c r="W240" i="11"/>
  <c r="W241" i="11"/>
  <c r="W234" i="11"/>
  <c r="M251" i="5" a="1"/>
  <c r="M251" i="5" s="1"/>
  <c r="AC226" i="11" s="1"/>
  <c r="W224" i="11"/>
  <c r="W239" i="11"/>
  <c r="W222" i="11"/>
  <c r="J261" i="5" a="1"/>
  <c r="J261" i="5" s="1"/>
  <c r="N236" i="11"/>
  <c r="J257" i="5" a="1"/>
  <c r="J257" i="5" s="1"/>
  <c r="N232" i="11"/>
  <c r="L247" i="5" a="1"/>
  <c r="L247" i="5" s="1"/>
  <c r="T222" i="11"/>
  <c r="J244" i="5" a="1"/>
  <c r="J244" i="5" s="1"/>
  <c r="N219" i="11"/>
  <c r="L266" i="5" a="1"/>
  <c r="L266" i="5" s="1"/>
  <c r="T241" i="11"/>
  <c r="J249" i="5" a="1"/>
  <c r="J249" i="5" s="1"/>
  <c r="N224" i="11"/>
  <c r="M260" i="5" a="1"/>
  <c r="M260" i="5" s="1"/>
  <c r="AC235" i="11" s="1"/>
  <c r="J264" i="5" a="1"/>
  <c r="J264" i="5" s="1"/>
  <c r="N239" i="11"/>
  <c r="J251" i="5" a="1"/>
  <c r="J251" i="5" s="1"/>
  <c r="N226" i="11"/>
  <c r="L262" i="5" a="1"/>
  <c r="L262" i="5" s="1"/>
  <c r="T237" i="11"/>
  <c r="L248" i="5" a="1"/>
  <c r="L248" i="5" s="1"/>
  <c r="T223" i="11"/>
  <c r="J252" i="5" a="1"/>
  <c r="J252" i="5" s="1"/>
  <c r="N227" i="11"/>
  <c r="J243" i="5" a="1"/>
  <c r="J243" i="5" s="1"/>
  <c r="N218" i="11"/>
  <c r="L246" i="5" a="1"/>
  <c r="L246" i="5" s="1"/>
  <c r="T221" i="11"/>
  <c r="J259" i="5" a="1"/>
  <c r="J259" i="5" s="1"/>
  <c r="N234" i="11"/>
  <c r="K258" i="5" a="1"/>
  <c r="K258" i="5" s="1"/>
  <c r="Q233" i="11"/>
  <c r="L242" i="5" a="1"/>
  <c r="L242" i="5" s="1"/>
  <c r="T217" i="11"/>
  <c r="J265" i="5" a="1"/>
  <c r="J265" i="5" s="1"/>
  <c r="N240" i="11"/>
  <c r="J245" i="5" a="1"/>
  <c r="J245" i="5" s="1"/>
  <c r="N220" i="11"/>
  <c r="L256" i="5" a="1"/>
  <c r="L256" i="5" s="1"/>
  <c r="T231" i="11"/>
  <c r="W218" i="11"/>
  <c r="W228" i="11"/>
  <c r="W221" i="11"/>
  <c r="K250" i="5" a="1"/>
  <c r="K250" i="5" s="1"/>
  <c r="Q225" i="11"/>
  <c r="J253" i="5" a="1"/>
  <c r="J253" i="5" s="1"/>
  <c r="N228" i="11"/>
  <c r="L250" i="5" a="1"/>
  <c r="L250" i="5" s="1"/>
  <c r="T225" i="11"/>
  <c r="J260" i="5" a="1"/>
  <c r="J260" i="5" s="1"/>
  <c r="N235" i="11"/>
  <c r="L263" i="5" a="1"/>
  <c r="L263" i="5" s="1"/>
  <c r="T238" i="11"/>
  <c r="L254" i="5" a="1"/>
  <c r="L254" i="5" s="1"/>
  <c r="T229" i="11"/>
  <c r="L255" i="5" a="1"/>
  <c r="L255" i="5" s="1"/>
  <c r="T230" i="11"/>
  <c r="L258" i="5" a="1"/>
  <c r="L258" i="5" s="1"/>
  <c r="T233" i="11"/>
  <c r="I218" i="5" a="1"/>
  <c r="I218" i="5" s="1"/>
  <c r="V13" i="11"/>
  <c r="R13" i="11"/>
  <c r="N13" i="11"/>
  <c r="J13" i="11"/>
  <c r="E21" i="11"/>
  <c r="E19" i="11"/>
  <c r="E17" i="11"/>
  <c r="E15" i="11"/>
  <c r="E13" i="11"/>
  <c r="E140" i="5"/>
  <c r="E141" i="5" s="1"/>
  <c r="E142" i="5" s="1"/>
  <c r="E143" i="5" s="1"/>
  <c r="S15"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7" i="16"/>
  <c r="G180" i="5"/>
  <c r="S18" i="16" s="1"/>
  <c r="G179" i="5"/>
  <c r="S10" i="16" s="1"/>
  <c r="G178" i="5"/>
  <c r="S12" i="16" s="1"/>
  <c r="R22" i="16"/>
  <c r="F23" i="10" s="1"/>
  <c r="R23" i="16"/>
  <c r="F24" i="10" s="1"/>
  <c r="R24" i="16"/>
  <c r="F25" i="10" s="1"/>
  <c r="R25" i="16"/>
  <c r="E26" i="10" s="1"/>
  <c r="R26" i="16"/>
  <c r="E27" i="10" s="1"/>
  <c r="R27" i="16"/>
  <c r="F28" i="10" s="1"/>
  <c r="R28" i="16"/>
  <c r="F29" i="10" s="1"/>
  <c r="R29" i="16"/>
  <c r="F30" i="10" s="1"/>
  <c r="R30" i="16"/>
  <c r="F31" i="10" s="1"/>
  <c r="R31" i="16"/>
  <c r="F32" i="10" s="1"/>
  <c r="R32" i="16"/>
  <c r="F33" i="10" s="1"/>
  <c r="R33" i="16"/>
  <c r="E34" i="10" s="1"/>
  <c r="R34" i="16"/>
  <c r="E35" i="10" s="1"/>
  <c r="R35" i="16"/>
  <c r="F36" i="10" s="1"/>
  <c r="R36" i="16"/>
  <c r="F37" i="10" s="1"/>
  <c r="R37" i="16"/>
  <c r="F38" i="10" s="1"/>
  <c r="R38" i="16"/>
  <c r="F39" i="10" s="1"/>
  <c r="R39" i="16"/>
  <c r="F40" i="10" s="1"/>
  <c r="R40" i="16"/>
  <c r="F41" i="10" s="1"/>
  <c r="R41" i="16"/>
  <c r="E42" i="10" s="1"/>
  <c r="R42" i="16"/>
  <c r="E43" i="10" s="1"/>
  <c r="R43" i="16"/>
  <c r="F44" i="10" s="1"/>
  <c r="R44" i="16"/>
  <c r="F45" i="10" s="1"/>
  <c r="R45" i="16"/>
  <c r="F46" i="10" s="1"/>
  <c r="R46" i="16"/>
  <c r="F47" i="10" s="1"/>
  <c r="G174" i="5"/>
  <c r="R9" i="16" s="1"/>
  <c r="G173" i="5"/>
  <c r="R8" i="16" s="1"/>
  <c r="F9" i="10" s="1"/>
  <c r="G172" i="5"/>
  <c r="R12" i="16" s="1"/>
  <c r="F13" i="10" s="1"/>
  <c r="Q8"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P8"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G168" i="5"/>
  <c r="Q18" i="16" s="1"/>
  <c r="G167" i="5"/>
  <c r="Q17" i="16" s="1"/>
  <c r="G166" i="5"/>
  <c r="Q16" i="16" s="1"/>
  <c r="G162" i="5"/>
  <c r="P16" i="16" s="1"/>
  <c r="G161" i="5"/>
  <c r="P12" i="16" s="1"/>
  <c r="G160" i="5"/>
  <c r="P9" i="16" s="1"/>
  <c r="F156" i="5"/>
  <c r="F155" i="5"/>
  <c r="F154" i="5"/>
  <c r="F151" i="5"/>
  <c r="F150" i="5"/>
  <c r="F149"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92" i="5"/>
  <c r="C184" i="5"/>
  <c r="C185" i="5"/>
  <c r="C186" i="5"/>
  <c r="C187" i="5"/>
  <c r="C188" i="5"/>
  <c r="C189" i="5"/>
  <c r="C190" i="5"/>
  <c r="C191" i="5"/>
  <c r="C192" i="5"/>
  <c r="C193" i="5"/>
  <c r="C194" i="5"/>
  <c r="C195" i="5"/>
  <c r="C196" i="5"/>
  <c r="C197" i="5"/>
  <c r="C198" i="5"/>
  <c r="F198" i="5" s="1"/>
  <c r="C199" i="5"/>
  <c r="G199" i="5" s="1"/>
  <c r="C200" i="5"/>
  <c r="G200" i="5" s="1"/>
  <c r="C201" i="5"/>
  <c r="G201" i="5" s="1"/>
  <c r="C202" i="5"/>
  <c r="F202" i="5" s="1"/>
  <c r="C203" i="5"/>
  <c r="D203" i="5" s="1"/>
  <c r="C204" i="5"/>
  <c r="D204" i="5" s="1"/>
  <c r="C205" i="5"/>
  <c r="E205" i="5" s="1"/>
  <c r="C206" i="5"/>
  <c r="F206" i="5" s="1"/>
  <c r="C207" i="5"/>
  <c r="G207" i="5" s="1"/>
  <c r="C208" i="5"/>
  <c r="G208" i="5" s="1"/>
  <c r="C209" i="5"/>
  <c r="G209" i="5" s="1"/>
  <c r="C210" i="5"/>
  <c r="F210" i="5" s="1"/>
  <c r="C211" i="5"/>
  <c r="D211" i="5" s="1"/>
  <c r="C212" i="5"/>
  <c r="D212" i="5" s="1"/>
  <c r="C213" i="5"/>
  <c r="E213" i="5" s="1"/>
  <c r="C214" i="5"/>
  <c r="F214" i="5" s="1"/>
  <c r="C215" i="5"/>
  <c r="G215" i="5" s="1"/>
  <c r="C216" i="5"/>
  <c r="G216" i="5" s="1"/>
  <c r="C217" i="5"/>
  <c r="G217" i="5" s="1"/>
  <c r="C218" i="5"/>
  <c r="F218" i="5" s="1"/>
  <c r="C219" i="5"/>
  <c r="D219" i="5" s="1"/>
  <c r="C220" i="5"/>
  <c r="D220" i="5" s="1"/>
  <c r="C221" i="5"/>
  <c r="E221" i="5" s="1"/>
  <c r="C222" i="5"/>
  <c r="F222" i="5" s="1"/>
  <c r="C183" i="5"/>
  <c r="A45" i="13"/>
  <c r="B45" i="13"/>
  <c r="A46" i="13"/>
  <c r="B46" i="13"/>
  <c r="A47" i="13"/>
  <c r="B47" i="13"/>
  <c r="A48" i="13"/>
  <c r="B48" i="13"/>
  <c r="A49" i="13"/>
  <c r="B49" i="13"/>
  <c r="A50" i="13"/>
  <c r="B50" i="13"/>
  <c r="A51" i="13"/>
  <c r="B51" i="13"/>
  <c r="A52" i="13"/>
  <c r="B52" i="13"/>
  <c r="A53" i="13"/>
  <c r="B53" i="13"/>
  <c r="A54" i="13"/>
  <c r="B54" i="13"/>
  <c r="A55" i="13"/>
  <c r="B55" i="13"/>
  <c r="A56" i="13"/>
  <c r="B56" i="13"/>
  <c r="A57" i="13"/>
  <c r="B57" i="13"/>
  <c r="A58" i="13"/>
  <c r="B58" i="13"/>
  <c r="A59" i="13"/>
  <c r="B59" i="13"/>
  <c r="A60" i="13"/>
  <c r="B60" i="13"/>
  <c r="A61" i="13"/>
  <c r="B61" i="13"/>
  <c r="A62" i="13"/>
  <c r="B62" i="13"/>
  <c r="A63" i="13"/>
  <c r="B63" i="13"/>
  <c r="A64" i="13"/>
  <c r="B64" i="13"/>
  <c r="A65" i="13"/>
  <c r="B65" i="13"/>
  <c r="A66" i="13"/>
  <c r="B66" i="13"/>
  <c r="A67" i="13"/>
  <c r="B67" i="13"/>
  <c r="A68" i="13"/>
  <c r="B68" i="13"/>
  <c r="A69" i="13"/>
  <c r="B69" i="13"/>
  <c r="A70" i="13"/>
  <c r="B70" i="13"/>
  <c r="A71" i="13"/>
  <c r="B71" i="13"/>
  <c r="A72" i="13"/>
  <c r="B72" i="13"/>
  <c r="A73" i="13"/>
  <c r="B73" i="13"/>
  <c r="B44" i="13"/>
  <c r="A44" i="13"/>
  <c r="K6" i="13"/>
  <c r="J6" i="13"/>
  <c r="I6" i="13"/>
  <c r="H6" i="13"/>
  <c r="G6" i="13"/>
  <c r="F6" i="13"/>
  <c r="E6" i="13"/>
  <c r="D6" i="13"/>
  <c r="C6"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7" i="13"/>
  <c r="G4" i="16"/>
  <c r="E4" i="16"/>
  <c r="D4" i="16"/>
  <c r="AU6" i="10"/>
  <c r="I227" i="5" l="1" a="1"/>
  <c r="I227" i="5" s="1"/>
  <c r="Q202" i="11" s="1"/>
  <c r="I232" i="5" a="1"/>
  <c r="I232" i="5" s="1"/>
  <c r="Q207" i="11" s="1"/>
  <c r="I237" i="5" a="1"/>
  <c r="I237" i="5" s="1"/>
  <c r="K237" i="5" s="1" a="1"/>
  <c r="K237" i="5" s="1"/>
  <c r="M237" i="5" s="1" a="1"/>
  <c r="M237" i="5" s="1"/>
  <c r="AC212" i="11" s="1"/>
  <c r="I236" i="5" a="1"/>
  <c r="I236" i="5" s="1"/>
  <c r="Q211" i="11" s="1"/>
  <c r="I228" i="5" a="1"/>
  <c r="I228" i="5" s="1"/>
  <c r="I239" i="5" a="1"/>
  <c r="I239" i="5" s="1"/>
  <c r="Q214" i="11" s="1"/>
  <c r="H230" i="5" a="1"/>
  <c r="H230" i="5" s="1"/>
  <c r="H231" i="5" a="1"/>
  <c r="H231" i="5" s="1"/>
  <c r="H232" i="5" a="1"/>
  <c r="H232" i="5" s="1"/>
  <c r="H233" i="5" a="1"/>
  <c r="H233" i="5" s="1"/>
  <c r="H238" i="5" a="1"/>
  <c r="H238" i="5" s="1"/>
  <c r="H239" i="5" a="1"/>
  <c r="H239" i="5" s="1"/>
  <c r="H240" i="5" a="1"/>
  <c r="H240" i="5" s="1"/>
  <c r="H241" i="5" a="1"/>
  <c r="H241" i="5" s="1"/>
  <c r="H237" i="5" a="1"/>
  <c r="H237" i="5" s="1"/>
  <c r="H236" i="5" a="1"/>
  <c r="H236" i="5" s="1"/>
  <c r="H229" i="5" a="1"/>
  <c r="H229" i="5" s="1"/>
  <c r="I234" i="5" a="1"/>
  <c r="I234" i="5" s="1"/>
  <c r="H228" i="5" a="1"/>
  <c r="H228" i="5" s="1"/>
  <c r="I230" i="5" a="1"/>
  <c r="I230" i="5" s="1"/>
  <c r="H235" i="5" a="1"/>
  <c r="H235" i="5" s="1"/>
  <c r="H234" i="5" a="1"/>
  <c r="H234" i="5" s="1"/>
  <c r="I241" i="5" a="1"/>
  <c r="I241" i="5" s="1"/>
  <c r="H227" i="5" a="1"/>
  <c r="H227" i="5" s="1"/>
  <c r="I238" i="5" a="1"/>
  <c r="I238" i="5" s="1"/>
  <c r="Q213" i="11" s="1"/>
  <c r="I235" i="5" a="1"/>
  <c r="I235" i="5" s="1"/>
  <c r="I233" i="5" a="1"/>
  <c r="I233" i="5" s="1"/>
  <c r="I229" i="5" a="1"/>
  <c r="I229" i="5" s="1"/>
  <c r="Q204" i="11" s="1"/>
  <c r="I240" i="5" a="1"/>
  <c r="I240" i="5" s="1"/>
  <c r="I231" i="5" a="1"/>
  <c r="I231" i="5" s="1"/>
  <c r="Z229" i="11"/>
  <c r="N254" i="5" a="1"/>
  <c r="N254" i="5" s="1"/>
  <c r="Z238" i="11"/>
  <c r="N263" i="5" a="1"/>
  <c r="N263" i="5" s="1"/>
  <c r="L253" i="5" a="1"/>
  <c r="L253" i="5" s="1"/>
  <c r="T228" i="11"/>
  <c r="N248" i="5" a="1"/>
  <c r="N248" i="5" s="1"/>
  <c r="Z223" i="11"/>
  <c r="Z231" i="11"/>
  <c r="N256" i="5" a="1"/>
  <c r="N256" i="5" s="1"/>
  <c r="N242" i="5" a="1"/>
  <c r="N242" i="5" s="1"/>
  <c r="Z217" i="11"/>
  <c r="L243" i="5" a="1"/>
  <c r="L243" i="5" s="1"/>
  <c r="T218" i="11"/>
  <c r="L260" i="5" a="1"/>
  <c r="L260" i="5" s="1"/>
  <c r="T235" i="11"/>
  <c r="M250" i="5" a="1"/>
  <c r="M250" i="5" s="1"/>
  <c r="AC225" i="11" s="1"/>
  <c r="W225" i="11"/>
  <c r="N262" i="5" a="1"/>
  <c r="N262" i="5" s="1"/>
  <c r="Z237" i="11"/>
  <c r="L245" i="5" a="1"/>
  <c r="L245" i="5" s="1"/>
  <c r="T220" i="11"/>
  <c r="M258" i="5" a="1"/>
  <c r="M258" i="5" s="1"/>
  <c r="AC233" i="11" s="1"/>
  <c r="W233" i="11"/>
  <c r="N266" i="5" a="1"/>
  <c r="N266" i="5" s="1"/>
  <c r="Z241" i="11"/>
  <c r="L257" i="5" a="1"/>
  <c r="L257" i="5" s="1"/>
  <c r="T232" i="11"/>
  <c r="N258" i="5" a="1"/>
  <c r="N258" i="5" s="1"/>
  <c r="Z233" i="11"/>
  <c r="L251" i="5" a="1"/>
  <c r="L251" i="5" s="1"/>
  <c r="T226" i="11"/>
  <c r="L265" i="5" a="1"/>
  <c r="L265" i="5" s="1"/>
  <c r="T240" i="11"/>
  <c r="L259" i="5" a="1"/>
  <c r="L259" i="5" s="1"/>
  <c r="T234" i="11"/>
  <c r="L249" i="5" a="1"/>
  <c r="L249" i="5" s="1"/>
  <c r="T224" i="11"/>
  <c r="L244" i="5" a="1"/>
  <c r="L244" i="5" s="1"/>
  <c r="T219" i="11"/>
  <c r="N255" i="5" a="1"/>
  <c r="N255" i="5" s="1"/>
  <c r="Z230" i="11"/>
  <c r="N250" i="5" a="1"/>
  <c r="N250" i="5" s="1"/>
  <c r="Z225" i="11"/>
  <c r="L252" i="5" a="1"/>
  <c r="L252" i="5" s="1"/>
  <c r="T227" i="11"/>
  <c r="L264" i="5" a="1"/>
  <c r="L264" i="5" s="1"/>
  <c r="T239" i="11"/>
  <c r="N246" i="5" a="1"/>
  <c r="N246" i="5" s="1"/>
  <c r="Z221" i="11"/>
  <c r="Z222" i="11"/>
  <c r="N247" i="5" a="1"/>
  <c r="N247" i="5" s="1"/>
  <c r="L261" i="5" a="1"/>
  <c r="L261" i="5" s="1"/>
  <c r="T236" i="11"/>
  <c r="S14" i="16"/>
  <c r="S8" i="16"/>
  <c r="H220" i="5"/>
  <c r="S11" i="16"/>
  <c r="S9" i="16"/>
  <c r="S17" i="16"/>
  <c r="V17" i="11" s="1"/>
  <c r="S16" i="16"/>
  <c r="E41" i="10"/>
  <c r="E33" i="10"/>
  <c r="E25" i="10"/>
  <c r="F43" i="10"/>
  <c r="F35" i="10"/>
  <c r="F27" i="10"/>
  <c r="E40" i="10"/>
  <c r="E32" i="10"/>
  <c r="E24" i="10"/>
  <c r="F42" i="10"/>
  <c r="F34" i="10"/>
  <c r="F26" i="10"/>
  <c r="F10" i="10"/>
  <c r="S7" i="16"/>
  <c r="E47" i="10"/>
  <c r="E39" i="10"/>
  <c r="E31" i="10"/>
  <c r="E23" i="10"/>
  <c r="E46" i="10"/>
  <c r="E38" i="10"/>
  <c r="E30" i="10"/>
  <c r="R21" i="16"/>
  <c r="F22" i="10" s="1"/>
  <c r="S21" i="16"/>
  <c r="S13" i="16"/>
  <c r="E45" i="10"/>
  <c r="E37" i="10"/>
  <c r="E29" i="10"/>
  <c r="R14" i="16"/>
  <c r="F15" i="10" s="1"/>
  <c r="S20" i="16"/>
  <c r="V19" i="11" s="1"/>
  <c r="E44" i="10"/>
  <c r="E36" i="10"/>
  <c r="E28" i="10"/>
  <c r="R13" i="16"/>
  <c r="F14" i="10" s="1"/>
  <c r="S19" i="16"/>
  <c r="AH13" i="11"/>
  <c r="Q14" i="16"/>
  <c r="Q19" i="16"/>
  <c r="R7" i="16"/>
  <c r="R15" i="16"/>
  <c r="F16" i="10" s="1"/>
  <c r="E217" i="5"/>
  <c r="R20" i="16"/>
  <c r="F21" i="10" s="1"/>
  <c r="E204" i="5"/>
  <c r="G206" i="5"/>
  <c r="P7" i="16"/>
  <c r="R19" i="16"/>
  <c r="F20" i="10" s="1"/>
  <c r="R11" i="16"/>
  <c r="Q11" i="16"/>
  <c r="R18" i="16"/>
  <c r="F19" i="10" s="1"/>
  <c r="R10" i="16"/>
  <c r="R17" i="16"/>
  <c r="F18" i="10" s="1"/>
  <c r="R16" i="16"/>
  <c r="F17" i="10" s="1"/>
  <c r="E220" i="5"/>
  <c r="G211" i="5"/>
  <c r="Q7" i="16"/>
  <c r="Q15" i="16"/>
  <c r="D218" i="5"/>
  <c r="E212" i="5"/>
  <c r="G203" i="5"/>
  <c r="Q21" i="16"/>
  <c r="Q13" i="16"/>
  <c r="D215" i="5"/>
  <c r="E209" i="5"/>
  <c r="G198" i="5"/>
  <c r="Q20" i="16"/>
  <c r="Q12" i="16"/>
  <c r="D207" i="5"/>
  <c r="E201" i="5"/>
  <c r="G222" i="5"/>
  <c r="P20" i="16"/>
  <c r="Q10" i="16"/>
  <c r="D210" i="5"/>
  <c r="E197" i="5"/>
  <c r="G197" i="5" s="1"/>
  <c r="D202" i="5"/>
  <c r="G219" i="5"/>
  <c r="P15" i="16"/>
  <c r="Q9" i="16"/>
  <c r="R17" i="11" s="1"/>
  <c r="D199" i="5"/>
  <c r="G214" i="5"/>
  <c r="F221" i="5"/>
  <c r="F205" i="5"/>
  <c r="D217" i="5"/>
  <c r="D209" i="5"/>
  <c r="D201" i="5"/>
  <c r="E219" i="5"/>
  <c r="E211" i="5"/>
  <c r="E203" i="5"/>
  <c r="F220" i="5"/>
  <c r="F212" i="5"/>
  <c r="F204" i="5"/>
  <c r="G221" i="5"/>
  <c r="G213" i="5"/>
  <c r="G205" i="5"/>
  <c r="P14" i="16"/>
  <c r="F213" i="5"/>
  <c r="D216" i="5"/>
  <c r="D208" i="5"/>
  <c r="D200" i="5"/>
  <c r="E218" i="5"/>
  <c r="E210" i="5"/>
  <c r="E202" i="5"/>
  <c r="F219" i="5"/>
  <c r="F211" i="5"/>
  <c r="F203" i="5"/>
  <c r="G220" i="5"/>
  <c r="G212" i="5"/>
  <c r="G204" i="5"/>
  <c r="P21" i="16"/>
  <c r="P13" i="16"/>
  <c r="D222" i="5"/>
  <c r="D214" i="5"/>
  <c r="D206" i="5"/>
  <c r="D198" i="5"/>
  <c r="E216" i="5"/>
  <c r="E208" i="5"/>
  <c r="E200" i="5"/>
  <c r="F217" i="5"/>
  <c r="F209" i="5"/>
  <c r="F201" i="5"/>
  <c r="G218" i="5"/>
  <c r="G210" i="5"/>
  <c r="G202" i="5"/>
  <c r="P19" i="16"/>
  <c r="P11" i="16"/>
  <c r="D221" i="5"/>
  <c r="D213" i="5"/>
  <c r="D205" i="5"/>
  <c r="D197" i="5"/>
  <c r="F197" i="5" s="1"/>
  <c r="E215" i="5"/>
  <c r="E207" i="5"/>
  <c r="E199" i="5"/>
  <c r="F216" i="5"/>
  <c r="F208" i="5"/>
  <c r="F200" i="5"/>
  <c r="P18" i="16"/>
  <c r="P10" i="16"/>
  <c r="E222" i="5"/>
  <c r="E214" i="5"/>
  <c r="E206" i="5"/>
  <c r="E198" i="5"/>
  <c r="F215" i="5"/>
  <c r="F207" i="5"/>
  <c r="F199" i="5"/>
  <c r="P17" i="16"/>
  <c r="Q212" i="11" l="1"/>
  <c r="W212" i="11"/>
  <c r="K235" i="5" a="1"/>
  <c r="K235" i="5" s="1"/>
  <c r="Q210" i="11"/>
  <c r="K234" i="5" a="1"/>
  <c r="K234" i="5" s="1"/>
  <c r="Q209" i="11"/>
  <c r="J233" i="5" a="1"/>
  <c r="J233" i="5" s="1"/>
  <c r="N208" i="11"/>
  <c r="K228" i="5" a="1"/>
  <c r="K228" i="5" s="1"/>
  <c r="Q203" i="11"/>
  <c r="J229" i="5" a="1"/>
  <c r="J229" i="5" s="1"/>
  <c r="T204" i="11" s="1"/>
  <c r="N204" i="11"/>
  <c r="N207" i="11"/>
  <c r="J232" i="5" a="1"/>
  <c r="J232" i="5" s="1"/>
  <c r="Q215" i="11"/>
  <c r="K240" i="5" a="1"/>
  <c r="K240" i="5" s="1"/>
  <c r="N202" i="11"/>
  <c r="J227" i="5" a="1"/>
  <c r="J227" i="5" s="1"/>
  <c r="J236" i="5" a="1"/>
  <c r="J236" i="5" s="1"/>
  <c r="N211" i="11"/>
  <c r="J231" i="5" a="1"/>
  <c r="J231" i="5" s="1"/>
  <c r="N206" i="11"/>
  <c r="N210" i="11"/>
  <c r="J235" i="5" a="1"/>
  <c r="J235" i="5" s="1"/>
  <c r="K241" i="5" a="1"/>
  <c r="K241" i="5" s="1"/>
  <c r="Q216" i="11"/>
  <c r="J237" i="5" a="1"/>
  <c r="J237" i="5" s="1"/>
  <c r="N212" i="11"/>
  <c r="J230" i="5" a="1"/>
  <c r="J230" i="5" s="1"/>
  <c r="N205" i="11"/>
  <c r="K231" i="5" a="1"/>
  <c r="K231" i="5" s="1"/>
  <c r="Q206" i="11"/>
  <c r="J234" i="5" a="1"/>
  <c r="J234" i="5" s="1"/>
  <c r="N209" i="11"/>
  <c r="J241" i="5" a="1"/>
  <c r="J241" i="5" s="1"/>
  <c r="N216" i="11"/>
  <c r="N215" i="11"/>
  <c r="J240" i="5" a="1"/>
  <c r="J240" i="5" s="1"/>
  <c r="K230" i="5" a="1"/>
  <c r="K230" i="5" s="1"/>
  <c r="Q205" i="11"/>
  <c r="N214" i="11"/>
  <c r="J239" i="5" a="1"/>
  <c r="J239" i="5" s="1"/>
  <c r="K233" i="5" a="1"/>
  <c r="K233" i="5" s="1"/>
  <c r="Q208" i="11"/>
  <c r="N203" i="11"/>
  <c r="J228" i="5" a="1"/>
  <c r="J228" i="5" s="1"/>
  <c r="J238" i="5" a="1"/>
  <c r="J238" i="5" s="1"/>
  <c r="T213" i="11" s="1"/>
  <c r="N213" i="11"/>
  <c r="Z224" i="11"/>
  <c r="N249" i="5" a="1"/>
  <c r="N249" i="5" s="1"/>
  <c r="Z236" i="11"/>
  <c r="N261" i="5" a="1"/>
  <c r="N261" i="5" s="1"/>
  <c r="N259" i="5" a="1"/>
  <c r="N259" i="5" s="1"/>
  <c r="Z234" i="11"/>
  <c r="N257" i="5" a="1"/>
  <c r="N257" i="5" s="1"/>
  <c r="Z232" i="11"/>
  <c r="N260" i="5" a="1"/>
  <c r="N260" i="5" s="1"/>
  <c r="Z235" i="11"/>
  <c r="N264" i="5" a="1"/>
  <c r="N264" i="5" s="1"/>
  <c r="Z239" i="11"/>
  <c r="Z220" i="11"/>
  <c r="N245" i="5" a="1"/>
  <c r="N245" i="5" s="1"/>
  <c r="N243" i="5" a="1"/>
  <c r="N243" i="5" s="1"/>
  <c r="Z218" i="11"/>
  <c r="N253" i="5" a="1"/>
  <c r="N253" i="5" s="1"/>
  <c r="Z228" i="11"/>
  <c r="Z227" i="11"/>
  <c r="N252" i="5" a="1"/>
  <c r="N252" i="5" s="1"/>
  <c r="N244" i="5" a="1"/>
  <c r="N244" i="5" s="1"/>
  <c r="Z219" i="11"/>
  <c r="Z240" i="11"/>
  <c r="N265" i="5" a="1"/>
  <c r="N265" i="5" s="1"/>
  <c r="N251" i="5" a="1"/>
  <c r="N251" i="5" s="1"/>
  <c r="Z226" i="11"/>
  <c r="J19" i="11"/>
  <c r="J17" i="11"/>
  <c r="V21" i="11"/>
  <c r="R15" i="11"/>
  <c r="N19" i="11"/>
  <c r="F11" i="10"/>
  <c r="R21" i="11"/>
  <c r="N17" i="11"/>
  <c r="R19" i="11"/>
  <c r="F12" i="10"/>
  <c r="N21" i="11"/>
  <c r="N15" i="11"/>
  <c r="F8" i="10"/>
  <c r="V15" i="11"/>
  <c r="J21" i="11"/>
  <c r="J15" i="11"/>
  <c r="M233" i="5" l="1" a="1"/>
  <c r="M233" i="5" s="1"/>
  <c r="AC208" i="11" s="1"/>
  <c r="W208" i="11"/>
  <c r="L241" i="5" a="1"/>
  <c r="L241" i="5" s="1"/>
  <c r="T216" i="11"/>
  <c r="L237" i="5" a="1"/>
  <c r="L237" i="5" s="1"/>
  <c r="T212" i="11"/>
  <c r="L236" i="5" a="1"/>
  <c r="L236" i="5" s="1"/>
  <c r="T211" i="11"/>
  <c r="L239" i="5" a="1"/>
  <c r="L239" i="5" s="1"/>
  <c r="T214" i="11"/>
  <c r="L227" i="5" a="1"/>
  <c r="L227" i="5" s="1"/>
  <c r="T202" i="11"/>
  <c r="L231" i="5" a="1"/>
  <c r="L231" i="5" s="1"/>
  <c r="T206" i="11"/>
  <c r="L234" i="5" a="1"/>
  <c r="L234" i="5" s="1"/>
  <c r="T209" i="11"/>
  <c r="M228" i="5" a="1"/>
  <c r="M228" i="5" s="1"/>
  <c r="AC203" i="11" s="1"/>
  <c r="W203" i="11"/>
  <c r="L235" i="5" a="1"/>
  <c r="L235" i="5" s="1"/>
  <c r="T210" i="11"/>
  <c r="W215" i="11"/>
  <c r="M240" i="5" a="1"/>
  <c r="M240" i="5" s="1"/>
  <c r="AC215" i="11" s="1"/>
  <c r="M241" i="5" a="1"/>
  <c r="M241" i="5" s="1"/>
  <c r="AC216" i="11" s="1"/>
  <c r="W216" i="11"/>
  <c r="M230" i="5" a="1"/>
  <c r="M230" i="5" s="1"/>
  <c r="AC205" i="11" s="1"/>
  <c r="W205" i="11"/>
  <c r="M231" i="5" a="1"/>
  <c r="M231" i="5" s="1"/>
  <c r="AC206" i="11" s="1"/>
  <c r="W206" i="11"/>
  <c r="L233" i="5" a="1"/>
  <c r="L233" i="5" s="1"/>
  <c r="T208" i="11"/>
  <c r="L230" i="5" a="1"/>
  <c r="L230" i="5" s="1"/>
  <c r="T205" i="11"/>
  <c r="T203" i="11"/>
  <c r="L228" i="5" a="1"/>
  <c r="L228" i="5" s="1"/>
  <c r="L240" i="5" a="1"/>
  <c r="L240" i="5" s="1"/>
  <c r="T215" i="11"/>
  <c r="T207" i="11"/>
  <c r="L232" i="5" a="1"/>
  <c r="L232" i="5" s="1"/>
  <c r="M234" i="5" a="1"/>
  <c r="M234" i="5" s="1"/>
  <c r="AC209" i="11" s="1"/>
  <c r="W209" i="11"/>
  <c r="M235" i="5" a="1"/>
  <c r="M235" i="5" s="1"/>
  <c r="AC210" i="11" s="1"/>
  <c r="W210" i="11"/>
  <c r="AH15" i="11"/>
  <c r="AI6" i="10"/>
  <c r="W6" i="10"/>
  <c r="K6" i="10"/>
  <c r="F59" i="5"/>
  <c r="H59" i="5" s="1"/>
  <c r="F60" i="5"/>
  <c r="H60" i="5" s="1"/>
  <c r="F61" i="5"/>
  <c r="H61" i="5" s="1"/>
  <c r="F62" i="5"/>
  <c r="H62" i="5" s="1"/>
  <c r="F63" i="5"/>
  <c r="H63" i="5" s="1"/>
  <c r="F64" i="5"/>
  <c r="H64" i="5" s="1"/>
  <c r="F65" i="5"/>
  <c r="H65" i="5" s="1"/>
  <c r="F66" i="5"/>
  <c r="H66" i="5" s="1"/>
  <c r="F67" i="5"/>
  <c r="H67" i="5" s="1"/>
  <c r="F68" i="5"/>
  <c r="H68" i="5" s="1"/>
  <c r="F69" i="5"/>
  <c r="H69" i="5" s="1"/>
  <c r="F70" i="5"/>
  <c r="H70" i="5" s="1"/>
  <c r="F71" i="5"/>
  <c r="H71" i="5" s="1"/>
  <c r="F72" i="5"/>
  <c r="H72" i="5" s="1"/>
  <c r="F73" i="5"/>
  <c r="H73" i="5" s="1"/>
  <c r="F74" i="5"/>
  <c r="H74" i="5" s="1"/>
  <c r="F75" i="5"/>
  <c r="H75" i="5" s="1"/>
  <c r="F76" i="5"/>
  <c r="H76" i="5" s="1"/>
  <c r="F77" i="5"/>
  <c r="H77" i="5" s="1"/>
  <c r="F78" i="5"/>
  <c r="H78" i="5" s="1"/>
  <c r="F79" i="5"/>
  <c r="H79" i="5" s="1"/>
  <c r="F80" i="5"/>
  <c r="H80" i="5" s="1"/>
  <c r="F81" i="5"/>
  <c r="H81" i="5" s="1"/>
  <c r="F82" i="5"/>
  <c r="H82" i="5" s="1"/>
  <c r="F83" i="5"/>
  <c r="H83" i="5" s="1"/>
  <c r="F84" i="5"/>
  <c r="H84" i="5" s="1"/>
  <c r="F85" i="5"/>
  <c r="H85" i="5" s="1"/>
  <c r="F86" i="5"/>
  <c r="H86" i="5" s="1"/>
  <c r="F87" i="5"/>
  <c r="H87" i="5" s="1"/>
  <c r="H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D87" i="5"/>
  <c r="D121" i="5" s="1"/>
  <c r="D86" i="5"/>
  <c r="D120" i="5" s="1"/>
  <c r="D85" i="5"/>
  <c r="D119" i="5" s="1"/>
  <c r="D84" i="5"/>
  <c r="D118" i="5" s="1"/>
  <c r="D83" i="5"/>
  <c r="D117" i="5" s="1"/>
  <c r="D82" i="5"/>
  <c r="D116" i="5" s="1"/>
  <c r="D81" i="5"/>
  <c r="D115" i="5" s="1"/>
  <c r="D80" i="5"/>
  <c r="D114" i="5" s="1"/>
  <c r="D79" i="5"/>
  <c r="D113" i="5" s="1"/>
  <c r="D78" i="5"/>
  <c r="D112" i="5" s="1"/>
  <c r="D77" i="5"/>
  <c r="D111" i="5" s="1"/>
  <c r="D76" i="5"/>
  <c r="D110" i="5" s="1"/>
  <c r="D75" i="5"/>
  <c r="D109" i="5" s="1"/>
  <c r="D74" i="5"/>
  <c r="D108" i="5" s="1"/>
  <c r="D73" i="5"/>
  <c r="D107" i="5" s="1"/>
  <c r="D72" i="5"/>
  <c r="D106" i="5" s="1"/>
  <c r="D71" i="5"/>
  <c r="D105" i="5" s="1"/>
  <c r="D70" i="5"/>
  <c r="D104" i="5" s="1"/>
  <c r="D69" i="5"/>
  <c r="D103" i="5" s="1"/>
  <c r="D68" i="5"/>
  <c r="D102" i="5" s="1"/>
  <c r="D67" i="5"/>
  <c r="D101" i="5" s="1"/>
  <c r="D66" i="5"/>
  <c r="D100" i="5" s="1"/>
  <c r="D65" i="5"/>
  <c r="D99" i="5" s="1"/>
  <c r="D64" i="5"/>
  <c r="D98" i="5" s="1"/>
  <c r="D63" i="5"/>
  <c r="D97" i="5" s="1"/>
  <c r="D62" i="5"/>
  <c r="D96" i="5" s="1"/>
  <c r="D61" i="5"/>
  <c r="D95" i="5" s="1"/>
  <c r="D60" i="5"/>
  <c r="D94" i="5" s="1"/>
  <c r="D59" i="5"/>
  <c r="D93" i="5" s="1"/>
  <c r="D58" i="5"/>
  <c r="D92" i="5" s="1"/>
  <c r="C59" i="5"/>
  <c r="C93" i="5" s="1"/>
  <c r="C60" i="5"/>
  <c r="C94" i="5" s="1"/>
  <c r="C61" i="5"/>
  <c r="C95" i="5" s="1"/>
  <c r="C62" i="5"/>
  <c r="C96" i="5" s="1"/>
  <c r="C63" i="5"/>
  <c r="C97" i="5" s="1"/>
  <c r="C64" i="5"/>
  <c r="C98" i="5" s="1"/>
  <c r="C65" i="5"/>
  <c r="C99" i="5" s="1"/>
  <c r="C66" i="5"/>
  <c r="C100" i="5" s="1"/>
  <c r="C67" i="5"/>
  <c r="C101" i="5" s="1"/>
  <c r="C68" i="5"/>
  <c r="C102" i="5" s="1"/>
  <c r="C69" i="5"/>
  <c r="C103" i="5" s="1"/>
  <c r="C70" i="5"/>
  <c r="C104" i="5" s="1"/>
  <c r="C71" i="5"/>
  <c r="C105" i="5" s="1"/>
  <c r="C72" i="5"/>
  <c r="C106" i="5" s="1"/>
  <c r="C73" i="5"/>
  <c r="C107" i="5" s="1"/>
  <c r="C74" i="5"/>
  <c r="C108" i="5" s="1"/>
  <c r="C75" i="5"/>
  <c r="C109" i="5" s="1"/>
  <c r="C76" i="5"/>
  <c r="C110" i="5" s="1"/>
  <c r="C77" i="5"/>
  <c r="C111" i="5" s="1"/>
  <c r="C78" i="5"/>
  <c r="C112" i="5" s="1"/>
  <c r="C79" i="5"/>
  <c r="C113" i="5" s="1"/>
  <c r="C80" i="5"/>
  <c r="C114" i="5" s="1"/>
  <c r="C81" i="5"/>
  <c r="C115" i="5" s="1"/>
  <c r="C82" i="5"/>
  <c r="C116" i="5" s="1"/>
  <c r="C83" i="5"/>
  <c r="C117" i="5" s="1"/>
  <c r="C84" i="5"/>
  <c r="C118" i="5" s="1"/>
  <c r="C85" i="5"/>
  <c r="C119" i="5" s="1"/>
  <c r="C86" i="5"/>
  <c r="C120" i="5" s="1"/>
  <c r="C87" i="5"/>
  <c r="C121" i="5" s="1"/>
  <c r="C58" i="5"/>
  <c r="C92" i="5" s="1"/>
  <c r="H28" i="2"/>
  <c r="H30" i="2"/>
  <c r="H31" i="2"/>
  <c r="H32" i="2"/>
  <c r="H33" i="2"/>
  <c r="H34" i="2"/>
  <c r="H35" i="2"/>
  <c r="H36" i="2"/>
  <c r="H37" i="2"/>
  <c r="H38" i="2"/>
  <c r="H39" i="2"/>
  <c r="H40" i="2"/>
  <c r="H41" i="2"/>
  <c r="H42" i="2"/>
  <c r="G29" i="2"/>
  <c r="G30" i="2"/>
  <c r="G31" i="2"/>
  <c r="G32" i="2"/>
  <c r="G33" i="2"/>
  <c r="G34" i="2"/>
  <c r="G35" i="2"/>
  <c r="G36" i="2"/>
  <c r="G37" i="2"/>
  <c r="G38" i="2"/>
  <c r="G39" i="2"/>
  <c r="G40" i="2"/>
  <c r="G41" i="2"/>
  <c r="G42" i="2"/>
  <c r="G28" i="2"/>
  <c r="H17" i="2"/>
  <c r="H18" i="2"/>
  <c r="H19" i="2"/>
  <c r="H20" i="2"/>
  <c r="H21" i="2"/>
  <c r="H22" i="2"/>
  <c r="H23" i="2"/>
  <c r="H24" i="2"/>
  <c r="H25" i="2"/>
  <c r="G18" i="2"/>
  <c r="D43" i="13" s="1"/>
  <c r="G19" i="2"/>
  <c r="E43" i="13" s="1"/>
  <c r="G20" i="2"/>
  <c r="F43" i="13" s="1"/>
  <c r="G21" i="2"/>
  <c r="G43" i="13" s="1"/>
  <c r="G22" i="2"/>
  <c r="H43" i="13" s="1"/>
  <c r="G23" i="2"/>
  <c r="I43" i="13" s="1"/>
  <c r="G24" i="2"/>
  <c r="J43" i="13" s="1"/>
  <c r="G25" i="2"/>
  <c r="K43" i="13" s="1"/>
  <c r="G17" i="2"/>
  <c r="C43" i="13" s="1"/>
  <c r="H7" i="2"/>
  <c r="H8" i="2"/>
  <c r="H9" i="2"/>
  <c r="H10" i="2"/>
  <c r="H11" i="2"/>
  <c r="H12" i="2"/>
  <c r="H13" i="2"/>
  <c r="H14" i="2"/>
  <c r="G7" i="2"/>
  <c r="G8" i="2"/>
  <c r="G9" i="2"/>
  <c r="G10" i="2"/>
  <c r="G11" i="2"/>
  <c r="G12" i="2"/>
  <c r="G13" i="2"/>
  <c r="G14" i="2"/>
  <c r="G6" i="2"/>
  <c r="N239" i="5" l="1" a="1"/>
  <c r="N239" i="5" s="1"/>
  <c r="Z214" i="11"/>
  <c r="N234" i="5" a="1"/>
  <c r="N234" i="5" s="1"/>
  <c r="Z209" i="11"/>
  <c r="Z211" i="11"/>
  <c r="N236" i="5" a="1"/>
  <c r="N236" i="5" s="1"/>
  <c r="Z208" i="11"/>
  <c r="N233" i="5" a="1"/>
  <c r="N233" i="5" s="1"/>
  <c r="Z206" i="11"/>
  <c r="N231" i="5" a="1"/>
  <c r="N231" i="5" s="1"/>
  <c r="Z212" i="11"/>
  <c r="N237" i="5" a="1"/>
  <c r="N237" i="5" s="1"/>
  <c r="N230" i="5" a="1"/>
  <c r="N230" i="5" s="1"/>
  <c r="Z205" i="11"/>
  <c r="N232" i="5" a="1"/>
  <c r="N232" i="5" s="1"/>
  <c r="Z207" i="11"/>
  <c r="Z215" i="11"/>
  <c r="N240" i="5" a="1"/>
  <c r="N240" i="5" s="1"/>
  <c r="N235" i="5" a="1"/>
  <c r="N235" i="5" s="1"/>
  <c r="Z210" i="11"/>
  <c r="N227" i="5" a="1"/>
  <c r="N227" i="5" s="1"/>
  <c r="Z202" i="11"/>
  <c r="N241" i="5" a="1"/>
  <c r="N241" i="5" s="1"/>
  <c r="Z216" i="11"/>
  <c r="N228" i="5" a="1"/>
  <c r="N228" i="5" s="1"/>
  <c r="Z203" i="11"/>
  <c r="K238" i="5" a="1"/>
  <c r="K238" i="5" s="1"/>
  <c r="L229" i="5" a="1"/>
  <c r="L229" i="5" s="1"/>
  <c r="L238" i="5" a="1"/>
  <c r="L238" i="5" s="1"/>
  <c r="K232" i="5" a="1"/>
  <c r="K232" i="5" s="1"/>
  <c r="K239" i="5" a="1"/>
  <c r="K239" i="5" s="1"/>
  <c r="K229" i="5" a="1"/>
  <c r="K229" i="5" s="1"/>
  <c r="K236" i="5" a="1"/>
  <c r="K236" i="5" s="1"/>
  <c r="K227" i="5" a="1"/>
  <c r="K227" i="5" s="1"/>
  <c r="D192" i="11"/>
  <c r="D189" i="11"/>
  <c r="G189" i="11"/>
  <c r="D191" i="11"/>
  <c r="G191" i="11"/>
  <c r="G185" i="11"/>
  <c r="D193" i="11"/>
  <c r="G186" i="11"/>
  <c r="G184" i="11"/>
  <c r="D190" i="11"/>
  <c r="G193" i="11"/>
  <c r="G187" i="11"/>
  <c r="D185" i="11"/>
  <c r="D188" i="11"/>
  <c r="G190" i="11"/>
  <c r="G188" i="11"/>
  <c r="D187" i="11"/>
  <c r="G192" i="11"/>
  <c r="D184" i="11"/>
  <c r="L64" i="13" a="1"/>
  <c r="L64" i="13" s="1"/>
  <c r="L65" i="13" a="1"/>
  <c r="L65" i="13" s="1"/>
  <c r="L46" i="13" a="1"/>
  <c r="L46" i="13" s="1"/>
  <c r="F94" i="5" s="1"/>
  <c r="V189" i="11" s="1"/>
  <c r="L52" i="13" a="1"/>
  <c r="L52" i="13" s="1"/>
  <c r="F100" i="5" s="1"/>
  <c r="L66" i="13" a="1"/>
  <c r="L66" i="13" s="1"/>
  <c r="L72" i="13" a="1"/>
  <c r="L72" i="13" s="1"/>
  <c r="F120" i="5" s="1"/>
  <c r="E196" i="5" s="1"/>
  <c r="G196" i="5" s="1"/>
  <c r="J20" i="16" s="1"/>
  <c r="L57" i="13" a="1"/>
  <c r="L57" i="13" s="1"/>
  <c r="F105" i="5" s="1"/>
  <c r="L63" i="13" a="1"/>
  <c r="L63" i="13" s="1"/>
  <c r="L44" i="13" a="1"/>
  <c r="L44" i="13" s="1"/>
  <c r="F92" i="5" s="1"/>
  <c r="L45" i="13" a="1"/>
  <c r="L45" i="13" s="1"/>
  <c r="F93" i="5" s="1"/>
  <c r="L51" i="13" a="1"/>
  <c r="L51" i="13" s="1"/>
  <c r="F99" i="5" s="1"/>
  <c r="E187" i="5" s="1"/>
  <c r="G187" i="5" s="1"/>
  <c r="J11" i="16" s="1"/>
  <c r="L49" i="13" a="1"/>
  <c r="L49" i="13" s="1"/>
  <c r="F97" i="5" s="1"/>
  <c r="L47" i="13" a="1"/>
  <c r="L47" i="13" s="1"/>
  <c r="F95" i="5" s="1"/>
  <c r="V193" i="11" s="1"/>
  <c r="L60" i="13" a="1"/>
  <c r="L60" i="13" s="1"/>
  <c r="F108" i="5" s="1"/>
  <c r="L58" i="13" a="1"/>
  <c r="L58" i="13" s="1"/>
  <c r="F106" i="5" s="1"/>
  <c r="V191" i="11" s="1"/>
  <c r="L54" i="13" a="1"/>
  <c r="L54" i="13" s="1"/>
  <c r="F102" i="5" s="1"/>
  <c r="L48" i="13" a="1"/>
  <c r="L48" i="13" s="1"/>
  <c r="F96" i="5" s="1"/>
  <c r="V190" i="11" s="1"/>
  <c r="L56" i="13" a="1"/>
  <c r="L56" i="13" s="1"/>
  <c r="F104" i="5" s="1"/>
  <c r="L69" i="13" a="1"/>
  <c r="L69" i="13" s="1"/>
  <c r="F117" i="5" s="1"/>
  <c r="L67" i="13" a="1"/>
  <c r="L67" i="13" s="1"/>
  <c r="L53" i="13" a="1"/>
  <c r="L53" i="13" s="1"/>
  <c r="F101" i="5" s="1"/>
  <c r="L73" i="13" a="1"/>
  <c r="L73" i="13" s="1"/>
  <c r="F121" i="5" s="1"/>
  <c r="L50" i="13" a="1"/>
  <c r="L50" i="13" s="1"/>
  <c r="F98" i="5" s="1"/>
  <c r="L55" i="13" a="1"/>
  <c r="L55" i="13" s="1"/>
  <c r="F103" i="5" s="1"/>
  <c r="V187" i="11" s="1"/>
  <c r="L61" i="13" a="1"/>
  <c r="L61" i="13" s="1"/>
  <c r="F109" i="5" s="1"/>
  <c r="L59" i="13" a="1"/>
  <c r="L59" i="13" s="1"/>
  <c r="F107" i="5" s="1"/>
  <c r="V185" i="11" s="1"/>
  <c r="L70" i="13" a="1"/>
  <c r="L70" i="13" s="1"/>
  <c r="L62" i="13" a="1"/>
  <c r="L62" i="13" s="1"/>
  <c r="F110" i="5" s="1"/>
  <c r="L68" i="13" a="1"/>
  <c r="L68" i="13" s="1"/>
  <c r="L71" i="13" a="1"/>
  <c r="L71" i="13" s="1"/>
  <c r="F119" i="5" s="1"/>
  <c r="D31" i="10"/>
  <c r="D32" i="10"/>
  <c r="D33" i="10"/>
  <c r="D34" i="10"/>
  <c r="D35" i="10"/>
  <c r="D36" i="10"/>
  <c r="D37" i="10"/>
  <c r="D38" i="10"/>
  <c r="D39" i="10"/>
  <c r="D40" i="10"/>
  <c r="D41" i="10"/>
  <c r="D42" i="10"/>
  <c r="D43" i="10"/>
  <c r="D44" i="10"/>
  <c r="D45" i="10"/>
  <c r="D46" i="10"/>
  <c r="D47" i="10"/>
  <c r="D9" i="10"/>
  <c r="D10" i="10"/>
  <c r="D11" i="10"/>
  <c r="D12" i="10"/>
  <c r="D13" i="10"/>
  <c r="D14" i="10"/>
  <c r="D15" i="10"/>
  <c r="D16" i="10"/>
  <c r="D17" i="10"/>
  <c r="D18" i="10"/>
  <c r="D19" i="10"/>
  <c r="D20" i="10"/>
  <c r="D21" i="10"/>
  <c r="D22" i="10"/>
  <c r="D23" i="10"/>
  <c r="D24" i="10"/>
  <c r="D25" i="10"/>
  <c r="D26" i="10"/>
  <c r="D27" i="10"/>
  <c r="D28" i="10"/>
  <c r="D29" i="10"/>
  <c r="D30" i="10"/>
  <c r="D8" i="10"/>
  <c r="C11" i="10"/>
  <c r="C14" i="10"/>
  <c r="C19" i="10"/>
  <c r="C22" i="10"/>
  <c r="C27" i="10"/>
  <c r="C30" i="10"/>
  <c r="C35" i="10"/>
  <c r="C8" i="10"/>
  <c r="Y131" i="5"/>
  <c r="X131" i="5"/>
  <c r="W131" i="5"/>
  <c r="C8" i="16"/>
  <c r="C9" i="10" s="1"/>
  <c r="C9" i="16"/>
  <c r="C10" i="10" s="1"/>
  <c r="C10" i="16"/>
  <c r="C11" i="16"/>
  <c r="C12" i="10" s="1"/>
  <c r="C12" i="16"/>
  <c r="C13" i="10" s="1"/>
  <c r="C13" i="16"/>
  <c r="C14" i="16"/>
  <c r="C15" i="10" s="1"/>
  <c r="C15" i="16"/>
  <c r="C16" i="10" s="1"/>
  <c r="C16" i="16"/>
  <c r="C17" i="10" s="1"/>
  <c r="C17" i="16"/>
  <c r="C18" i="10" s="1"/>
  <c r="C18" i="16"/>
  <c r="C19" i="16"/>
  <c r="C20" i="10" s="1"/>
  <c r="C20" i="16"/>
  <c r="C21" i="10" s="1"/>
  <c r="C21" i="16"/>
  <c r="C22" i="16"/>
  <c r="C23" i="16"/>
  <c r="C24" i="16"/>
  <c r="C25" i="16"/>
  <c r="C26" i="10" s="1"/>
  <c r="C26" i="16"/>
  <c r="C27" i="16"/>
  <c r="C28" i="10" s="1"/>
  <c r="C28" i="16"/>
  <c r="C29" i="16"/>
  <c r="C30" i="16"/>
  <c r="C31" i="16"/>
  <c r="C32" i="16"/>
  <c r="C33" i="16"/>
  <c r="C34" i="10" s="1"/>
  <c r="C34" i="16"/>
  <c r="C35" i="16"/>
  <c r="C36" i="10" s="1"/>
  <c r="C36" i="16"/>
  <c r="C37" i="16"/>
  <c r="C38" i="16"/>
  <c r="C39" i="16"/>
  <c r="C40" i="16"/>
  <c r="C41" i="16"/>
  <c r="C42" i="10" s="1"/>
  <c r="C42" i="16"/>
  <c r="C43" i="16"/>
  <c r="C44" i="16"/>
  <c r="C45" i="16"/>
  <c r="C46" i="16"/>
  <c r="C7" i="16"/>
  <c r="D127" i="5"/>
  <c r="D128" i="5"/>
  <c r="D129" i="5"/>
  <c r="D130" i="5"/>
  <c r="D126" i="5"/>
  <c r="I70" i="5"/>
  <c r="H104" i="5" s="1"/>
  <c r="I78" i="5"/>
  <c r="H112" i="5" s="1"/>
  <c r="I86" i="5"/>
  <c r="H120" i="5" s="1"/>
  <c r="G59" i="5"/>
  <c r="G60" i="5"/>
  <c r="G61" i="5"/>
  <c r="G64" i="5"/>
  <c r="G65" i="5"/>
  <c r="G66" i="5"/>
  <c r="G67" i="5"/>
  <c r="G68" i="5"/>
  <c r="G69" i="5"/>
  <c r="G71" i="5"/>
  <c r="G72" i="5"/>
  <c r="G73" i="5"/>
  <c r="G74" i="5"/>
  <c r="G75" i="5"/>
  <c r="G76" i="5"/>
  <c r="G77" i="5"/>
  <c r="G80" i="5"/>
  <c r="G81" i="5"/>
  <c r="G82" i="5"/>
  <c r="G83" i="5"/>
  <c r="G84" i="5"/>
  <c r="G85" i="5"/>
  <c r="G87" i="5"/>
  <c r="Q127" i="5"/>
  <c r="Q128" i="5"/>
  <c r="Q129" i="5"/>
  <c r="Q130" i="5"/>
  <c r="P127" i="5"/>
  <c r="P128" i="5"/>
  <c r="P129" i="5"/>
  <c r="P130" i="5"/>
  <c r="O127" i="5"/>
  <c r="O128" i="5"/>
  <c r="O129" i="5"/>
  <c r="O130" i="5"/>
  <c r="N127" i="5"/>
  <c r="N128" i="5"/>
  <c r="N129" i="5"/>
  <c r="N130" i="5"/>
  <c r="M127" i="5"/>
  <c r="M128" i="5"/>
  <c r="M129" i="5"/>
  <c r="M130" i="5"/>
  <c r="N126" i="5"/>
  <c r="O126" i="5"/>
  <c r="P126" i="5"/>
  <c r="Q126" i="5"/>
  <c r="M126" i="5"/>
  <c r="L127" i="5"/>
  <c r="L128" i="5"/>
  <c r="L129" i="5"/>
  <c r="L130" i="5"/>
  <c r="L126" i="5"/>
  <c r="G130" i="5"/>
  <c r="H130" i="5"/>
  <c r="I130" i="5"/>
  <c r="J130" i="5"/>
  <c r="G129" i="5"/>
  <c r="H129" i="5"/>
  <c r="I129" i="5"/>
  <c r="J129" i="5"/>
  <c r="G128" i="5"/>
  <c r="H128" i="5"/>
  <c r="I128" i="5"/>
  <c r="J128" i="5"/>
  <c r="G127" i="5"/>
  <c r="H127" i="5"/>
  <c r="I127" i="5"/>
  <c r="J127" i="5"/>
  <c r="F127" i="5"/>
  <c r="F128" i="5"/>
  <c r="F129" i="5"/>
  <c r="F130" i="5"/>
  <c r="G126" i="5"/>
  <c r="H126" i="5"/>
  <c r="I126" i="5"/>
  <c r="J126" i="5"/>
  <c r="F126" i="5"/>
  <c r="E127" i="5"/>
  <c r="E128" i="5"/>
  <c r="E129" i="5"/>
  <c r="E130" i="5"/>
  <c r="E126" i="5"/>
  <c r="L7" i="13" a="1"/>
  <c r="L7" i="13" s="1"/>
  <c r="E92" i="5" s="1"/>
  <c r="L8" i="13" a="1"/>
  <c r="L8" i="13" s="1"/>
  <c r="E93" i="5" s="1"/>
  <c r="D184" i="5" s="1"/>
  <c r="F184" i="5" s="1"/>
  <c r="I8" i="16" s="1"/>
  <c r="L9" i="13" a="1"/>
  <c r="L9" i="13" s="1"/>
  <c r="L10" i="13" a="1"/>
  <c r="L10" i="13" s="1"/>
  <c r="L11" i="13" a="1"/>
  <c r="L11" i="13" s="1"/>
  <c r="E96" i="5" s="1"/>
  <c r="Q190" i="11" s="1"/>
  <c r="L12" i="13" a="1"/>
  <c r="L12" i="13" s="1"/>
  <c r="L13" i="13" a="1"/>
  <c r="L13" i="13" s="1"/>
  <c r="E98" i="5" s="1"/>
  <c r="L14" i="13" a="1"/>
  <c r="L14" i="13" s="1"/>
  <c r="L15" i="13" a="1"/>
  <c r="L15" i="13" s="1"/>
  <c r="E100" i="5" s="1"/>
  <c r="L16" i="13" a="1"/>
  <c r="L16" i="13" s="1"/>
  <c r="E101" i="5" s="1"/>
  <c r="D189" i="5" s="1"/>
  <c r="F189" i="5" s="1"/>
  <c r="I13" i="16" s="1"/>
  <c r="L17" i="13" a="1"/>
  <c r="L17" i="13" s="1"/>
  <c r="E102" i="5" s="1"/>
  <c r="L18" i="13" a="1"/>
  <c r="L18" i="13" s="1"/>
  <c r="L19" i="13" a="1"/>
  <c r="L19" i="13" s="1"/>
  <c r="L20" i="13" a="1"/>
  <c r="L20" i="13" s="1"/>
  <c r="E105" i="5" s="1"/>
  <c r="L21" i="13" a="1"/>
  <c r="L21" i="13" s="1"/>
  <c r="L22" i="13" a="1"/>
  <c r="L22" i="13" s="1"/>
  <c r="L23" i="13" a="1"/>
  <c r="L23" i="13" s="1"/>
  <c r="E108" i="5" s="1"/>
  <c r="L24" i="13" a="1"/>
  <c r="L24" i="13" s="1"/>
  <c r="E109" i="5" s="1"/>
  <c r="L25" i="13" a="1"/>
  <c r="L25" i="13" s="1"/>
  <c r="E110" i="5" s="1"/>
  <c r="L26" i="13" a="1"/>
  <c r="L26" i="13" s="1"/>
  <c r="L27" i="13" a="1"/>
  <c r="L27" i="13" s="1"/>
  <c r="E112" i="5" s="1"/>
  <c r="L28" i="13" a="1"/>
  <c r="L28" i="13" s="1"/>
  <c r="L29" i="13" a="1"/>
  <c r="L29" i="13" s="1"/>
  <c r="L30" i="13" a="1"/>
  <c r="L30" i="13" s="1"/>
  <c r="L31" i="13" a="1"/>
  <c r="L31" i="13" s="1"/>
  <c r="L32" i="13" a="1"/>
  <c r="L32" i="13" s="1"/>
  <c r="L33" i="13" a="1"/>
  <c r="L33" i="13" s="1"/>
  <c r="E118" i="5" s="1"/>
  <c r="L34" i="13" a="1"/>
  <c r="L34" i="13" s="1"/>
  <c r="L35" i="13" a="1"/>
  <c r="L35" i="13" s="1"/>
  <c r="L36" i="13" a="1"/>
  <c r="L36" i="13" s="1"/>
  <c r="E115" i="5" l="1"/>
  <c r="Q192" i="11" s="1"/>
  <c r="J42" i="16"/>
  <c r="I42" i="16"/>
  <c r="J34" i="16"/>
  <c r="I34" i="16"/>
  <c r="J26" i="16"/>
  <c r="I26" i="16"/>
  <c r="C43" i="10"/>
  <c r="I40" i="16"/>
  <c r="J40" i="16"/>
  <c r="I32" i="16"/>
  <c r="J32" i="16"/>
  <c r="I24" i="16"/>
  <c r="J24" i="16"/>
  <c r="C41" i="10"/>
  <c r="I39" i="16"/>
  <c r="J39" i="16"/>
  <c r="I31" i="16"/>
  <c r="J31" i="16"/>
  <c r="I23" i="16"/>
  <c r="J23" i="16"/>
  <c r="C33" i="10"/>
  <c r="C25" i="10"/>
  <c r="C40" i="10"/>
  <c r="J36" i="16"/>
  <c r="I36" i="16"/>
  <c r="I41" i="16"/>
  <c r="J41" i="16"/>
  <c r="I33" i="16"/>
  <c r="J33" i="16"/>
  <c r="J25" i="16"/>
  <c r="I25" i="16"/>
  <c r="I46" i="16"/>
  <c r="J46" i="16"/>
  <c r="I38" i="16"/>
  <c r="J38" i="16"/>
  <c r="I30" i="16"/>
  <c r="J30" i="16"/>
  <c r="I22" i="16"/>
  <c r="J22" i="16"/>
  <c r="C32" i="10"/>
  <c r="C24" i="10"/>
  <c r="C47" i="10"/>
  <c r="C39" i="10"/>
  <c r="J45" i="16"/>
  <c r="I45" i="16"/>
  <c r="J37" i="16"/>
  <c r="I37" i="16"/>
  <c r="I29" i="16"/>
  <c r="J29" i="16"/>
  <c r="I21" i="16"/>
  <c r="J21" i="16"/>
  <c r="C31" i="10"/>
  <c r="C23" i="10"/>
  <c r="C46" i="10"/>
  <c r="C38" i="10"/>
  <c r="J44" i="16"/>
  <c r="I44" i="16"/>
  <c r="J28" i="16"/>
  <c r="I28" i="16"/>
  <c r="C45" i="10"/>
  <c r="J43" i="16"/>
  <c r="I43" i="16"/>
  <c r="J35" i="16"/>
  <c r="I35" i="16"/>
  <c r="J27" i="16"/>
  <c r="I27" i="16"/>
  <c r="C37" i="10"/>
  <c r="C29" i="10"/>
  <c r="C44" i="10"/>
  <c r="M227" i="5" a="1"/>
  <c r="M227" i="5" s="1"/>
  <c r="AC202" i="11" s="1"/>
  <c r="W202" i="11"/>
  <c r="M229" i="5" a="1"/>
  <c r="M229" i="5" s="1"/>
  <c r="AC204" i="11" s="1"/>
  <c r="W204" i="11"/>
  <c r="M236" i="5" a="1"/>
  <c r="M236" i="5" s="1"/>
  <c r="AC211" i="11" s="1"/>
  <c r="W211" i="11"/>
  <c r="M239" i="5" a="1"/>
  <c r="M239" i="5" s="1"/>
  <c r="AC214" i="11" s="1"/>
  <c r="W214" i="11"/>
  <c r="M232" i="5" a="1"/>
  <c r="M232" i="5" s="1"/>
  <c r="AC207" i="11" s="1"/>
  <c r="W207" i="11"/>
  <c r="N238" i="5" a="1"/>
  <c r="N238" i="5" s="1"/>
  <c r="Z213" i="11"/>
  <c r="N229" i="5" a="1"/>
  <c r="N229" i="5" s="1"/>
  <c r="Z204" i="11"/>
  <c r="M238" i="5" a="1"/>
  <c r="M238" i="5" s="1"/>
  <c r="AC213" i="11" s="1"/>
  <c r="W213" i="11"/>
  <c r="Q184" i="11"/>
  <c r="Q186" i="11"/>
  <c r="E189" i="5"/>
  <c r="G189" i="5" s="1"/>
  <c r="J13" i="16" s="1"/>
  <c r="K13" i="16" s="1"/>
  <c r="V186" i="11"/>
  <c r="E184" i="5"/>
  <c r="G184" i="5" s="1"/>
  <c r="J8" i="16" s="1"/>
  <c r="K8" i="16" s="1"/>
  <c r="V184" i="11"/>
  <c r="E186" i="5"/>
  <c r="G186" i="5" s="1"/>
  <c r="J10" i="16" s="1"/>
  <c r="V188" i="11"/>
  <c r="E193" i="5"/>
  <c r="G193" i="5" s="1"/>
  <c r="J17" i="16" s="1"/>
  <c r="D188" i="5"/>
  <c r="F188" i="5" s="1"/>
  <c r="I12" i="16" s="1"/>
  <c r="E195" i="5"/>
  <c r="G195" i="5" s="1"/>
  <c r="J19" i="16" s="1"/>
  <c r="D183" i="5"/>
  <c r="F183" i="5" s="1"/>
  <c r="I7" i="16" s="1"/>
  <c r="E188" i="5"/>
  <c r="G188" i="5" s="1"/>
  <c r="J12" i="16" s="1"/>
  <c r="E185" i="5"/>
  <c r="G185" i="5" s="1"/>
  <c r="J9" i="16" s="1"/>
  <c r="E183" i="5"/>
  <c r="G183" i="5" s="1"/>
  <c r="J7" i="16" s="1"/>
  <c r="E113" i="5"/>
  <c r="J113" i="5" s="1"/>
  <c r="E116" i="5"/>
  <c r="J116" i="5" s="1"/>
  <c r="E117" i="5"/>
  <c r="E114" i="5"/>
  <c r="J80" i="5" s="1"/>
  <c r="E107" i="5"/>
  <c r="E99" i="5"/>
  <c r="D187" i="5" s="1"/>
  <c r="F187" i="5" s="1"/>
  <c r="I11" i="16" s="1"/>
  <c r="K11" i="16" s="1"/>
  <c r="E106" i="5"/>
  <c r="Q191" i="11" s="1"/>
  <c r="E119" i="5"/>
  <c r="J119" i="5" s="1"/>
  <c r="E103" i="5"/>
  <c r="E97" i="5"/>
  <c r="Q188" i="11" s="1"/>
  <c r="E121" i="5"/>
  <c r="J121" i="5" s="1"/>
  <c r="E120" i="5"/>
  <c r="J112" i="5"/>
  <c r="E111" i="5"/>
  <c r="E104" i="5"/>
  <c r="J104" i="5" s="1"/>
  <c r="E95" i="5"/>
  <c r="E94" i="5"/>
  <c r="Q189" i="11" s="1"/>
  <c r="F118" i="5"/>
  <c r="F114" i="5"/>
  <c r="F111" i="5"/>
  <c r="E191" i="5" s="1"/>
  <c r="G191" i="5" s="1"/>
  <c r="J15" i="16" s="1"/>
  <c r="F116" i="5"/>
  <c r="F113" i="5"/>
  <c r="E190" i="5" s="1"/>
  <c r="G190" i="5" s="1"/>
  <c r="J14" i="16" s="1"/>
  <c r="F115" i="5"/>
  <c r="V192" i="11" s="1"/>
  <c r="H131" i="5"/>
  <c r="I62" i="5"/>
  <c r="H96" i="5" s="1"/>
  <c r="AA190" i="11" s="1"/>
  <c r="I80" i="5"/>
  <c r="H114" i="5" s="1"/>
  <c r="I72" i="5"/>
  <c r="H106" i="5" s="1"/>
  <c r="AA191" i="11" s="1"/>
  <c r="I64" i="5"/>
  <c r="H98" i="5" s="1"/>
  <c r="I81" i="5"/>
  <c r="H115" i="5" s="1"/>
  <c r="AA192" i="11" s="1"/>
  <c r="I73" i="5"/>
  <c r="H107" i="5" s="1"/>
  <c r="AA185" i="11" s="1"/>
  <c r="I65" i="5"/>
  <c r="H99" i="5" s="1"/>
  <c r="I87" i="5"/>
  <c r="H121" i="5" s="1"/>
  <c r="I79" i="5"/>
  <c r="H113" i="5" s="1"/>
  <c r="I71" i="5"/>
  <c r="H105" i="5" s="1"/>
  <c r="I63" i="5"/>
  <c r="H97" i="5" s="1"/>
  <c r="AA188" i="11" s="1"/>
  <c r="I85" i="5"/>
  <c r="H119" i="5" s="1"/>
  <c r="I77" i="5"/>
  <c r="H111" i="5" s="1"/>
  <c r="I69" i="5"/>
  <c r="H103" i="5" s="1"/>
  <c r="AA187" i="11" s="1"/>
  <c r="I61" i="5"/>
  <c r="H95" i="5" s="1"/>
  <c r="AA193" i="11" s="1"/>
  <c r="I84" i="5"/>
  <c r="H118" i="5" s="1"/>
  <c r="I76" i="5"/>
  <c r="H110" i="5" s="1"/>
  <c r="I68" i="5"/>
  <c r="H102" i="5" s="1"/>
  <c r="I60" i="5"/>
  <c r="H94" i="5" s="1"/>
  <c r="AA189" i="11" s="1"/>
  <c r="I83" i="5"/>
  <c r="H117" i="5" s="1"/>
  <c r="I75" i="5"/>
  <c r="H109" i="5" s="1"/>
  <c r="I67" i="5"/>
  <c r="H101" i="5" s="1"/>
  <c r="AA186" i="11" s="1"/>
  <c r="I59" i="5"/>
  <c r="H93" i="5" s="1"/>
  <c r="AA184" i="11" s="1"/>
  <c r="I82" i="5"/>
  <c r="H116" i="5" s="1"/>
  <c r="I74" i="5"/>
  <c r="H108" i="5" s="1"/>
  <c r="I66" i="5"/>
  <c r="H100" i="5" s="1"/>
  <c r="I58" i="5"/>
  <c r="H92" i="5" s="1"/>
  <c r="J98" i="5"/>
  <c r="J64" i="5"/>
  <c r="J118" i="5"/>
  <c r="J66" i="5"/>
  <c r="J100" i="5"/>
  <c r="J101" i="5"/>
  <c r="J67" i="5"/>
  <c r="J96" i="5"/>
  <c r="J62" i="5"/>
  <c r="J110" i="5"/>
  <c r="J76" i="5"/>
  <c r="J105" i="5"/>
  <c r="J71" i="5"/>
  <c r="J102" i="5"/>
  <c r="J68" i="5"/>
  <c r="J109" i="5"/>
  <c r="J75" i="5"/>
  <c r="J93" i="5"/>
  <c r="J59" i="5"/>
  <c r="J74" i="5"/>
  <c r="J108" i="5"/>
  <c r="J78" i="5"/>
  <c r="K78" i="5" s="1"/>
  <c r="I131" i="5"/>
  <c r="G86" i="5"/>
  <c r="G70" i="5"/>
  <c r="G79" i="5"/>
  <c r="G63" i="5"/>
  <c r="G78" i="5"/>
  <c r="G62" i="5"/>
  <c r="G108" i="5"/>
  <c r="F112" i="5"/>
  <c r="G105" i="5"/>
  <c r="G96" i="5"/>
  <c r="O131" i="5"/>
  <c r="L131" i="5"/>
  <c r="M131" i="5"/>
  <c r="F131" i="5"/>
  <c r="E131" i="5"/>
  <c r="P131" i="5"/>
  <c r="G102" i="5"/>
  <c r="I102" i="5" s="1"/>
  <c r="R126" i="5"/>
  <c r="K126" i="5"/>
  <c r="R130" i="5"/>
  <c r="N131" i="5"/>
  <c r="R129" i="5"/>
  <c r="K130" i="5"/>
  <c r="G131" i="5"/>
  <c r="K129" i="5"/>
  <c r="R128" i="5"/>
  <c r="K127" i="5"/>
  <c r="K128" i="5"/>
  <c r="Q131" i="5"/>
  <c r="G110" i="5"/>
  <c r="R127" i="5"/>
  <c r="G109" i="5"/>
  <c r="G101" i="5"/>
  <c r="G93" i="5"/>
  <c r="J131" i="5"/>
  <c r="G100" i="5"/>
  <c r="G98" i="5"/>
  <c r="I105" i="5" l="1"/>
  <c r="I98" i="5"/>
  <c r="I100" i="5"/>
  <c r="J81" i="5"/>
  <c r="K81" i="5" s="1"/>
  <c r="I108" i="5"/>
  <c r="K43" i="16"/>
  <c r="K26" i="16"/>
  <c r="K29" i="16"/>
  <c r="K46" i="16"/>
  <c r="K40" i="16"/>
  <c r="K30" i="16"/>
  <c r="K33" i="16"/>
  <c r="K24" i="16"/>
  <c r="K34" i="16"/>
  <c r="K27" i="16"/>
  <c r="K42" i="16"/>
  <c r="K35" i="16"/>
  <c r="K22" i="16"/>
  <c r="K41" i="16"/>
  <c r="K21" i="16"/>
  <c r="K38" i="16"/>
  <c r="K32" i="16"/>
  <c r="K37" i="16"/>
  <c r="K25" i="16"/>
  <c r="K39" i="16"/>
  <c r="K45" i="16"/>
  <c r="K28" i="16"/>
  <c r="K23" i="16"/>
  <c r="K44" i="16"/>
  <c r="K36" i="16"/>
  <c r="K31" i="16"/>
  <c r="I110" i="5"/>
  <c r="I96" i="5"/>
  <c r="I101" i="5"/>
  <c r="I93" i="5"/>
  <c r="I109" i="5"/>
  <c r="J95" i="5"/>
  <c r="Q193" i="11"/>
  <c r="G107" i="5"/>
  <c r="I107" i="5" s="1"/>
  <c r="Q185" i="11"/>
  <c r="G103" i="5"/>
  <c r="I103" i="5" s="1"/>
  <c r="Q187" i="11"/>
  <c r="L78" i="5"/>
  <c r="M78" i="5"/>
  <c r="K12" i="16"/>
  <c r="D192" i="5"/>
  <c r="F192" i="5" s="1"/>
  <c r="I16" i="16" s="1"/>
  <c r="J83" i="5"/>
  <c r="K83" i="5" s="1"/>
  <c r="D195" i="5"/>
  <c r="F195" i="5" s="1"/>
  <c r="I19" i="16" s="1"/>
  <c r="K19" i="16" s="1"/>
  <c r="D194" i="5"/>
  <c r="F194" i="5" s="1"/>
  <c r="I18" i="16" s="1"/>
  <c r="J97" i="5"/>
  <c r="D186" i="5"/>
  <c r="F186" i="5" s="1"/>
  <c r="I10" i="16" s="1"/>
  <c r="K10" i="16" s="1"/>
  <c r="J120" i="5"/>
  <c r="D196" i="5"/>
  <c r="F196" i="5" s="1"/>
  <c r="I20" i="16" s="1"/>
  <c r="K20" i="16" s="1"/>
  <c r="J94" i="5"/>
  <c r="D185" i="5"/>
  <c r="F185" i="5" s="1"/>
  <c r="I9" i="16" s="1"/>
  <c r="K9" i="16" s="1"/>
  <c r="E194" i="5"/>
  <c r="G194" i="5" s="1"/>
  <c r="J18" i="16" s="1"/>
  <c r="D190" i="5"/>
  <c r="F190" i="5" s="1"/>
  <c r="I14" i="16" s="1"/>
  <c r="K14" i="16" s="1"/>
  <c r="K7" i="16"/>
  <c r="G112" i="5"/>
  <c r="I112" i="5" s="1"/>
  <c r="E192" i="5"/>
  <c r="G192" i="5" s="1"/>
  <c r="J16" i="16" s="1"/>
  <c r="D193" i="5"/>
  <c r="F193" i="5" s="1"/>
  <c r="I17" i="16" s="1"/>
  <c r="K17" i="16" s="1"/>
  <c r="J77" i="5"/>
  <c r="K77" i="5" s="1"/>
  <c r="D191" i="5"/>
  <c r="F191" i="5" s="1"/>
  <c r="I15" i="16" s="1"/>
  <c r="K15" i="16" s="1"/>
  <c r="J79" i="5"/>
  <c r="K79" i="5" s="1"/>
  <c r="G117" i="5"/>
  <c r="I117" i="5" s="1"/>
  <c r="J117" i="5"/>
  <c r="K105" i="5"/>
  <c r="J114" i="5"/>
  <c r="G114" i="5"/>
  <c r="I114" i="5" s="1"/>
  <c r="J82" i="5"/>
  <c r="K82" i="5" s="1"/>
  <c r="G113" i="5"/>
  <c r="I113" i="5" s="1"/>
  <c r="J60" i="5"/>
  <c r="K60" i="5" s="1"/>
  <c r="G94" i="5"/>
  <c r="I94" i="5" s="1"/>
  <c r="J69" i="5"/>
  <c r="K69" i="5" s="1"/>
  <c r="G119" i="5"/>
  <c r="I119" i="5" s="1"/>
  <c r="G116" i="5"/>
  <c r="I116" i="5" s="1"/>
  <c r="T128" i="5"/>
  <c r="J85" i="5"/>
  <c r="K85" i="5" s="1"/>
  <c r="G106" i="5"/>
  <c r="I106" i="5" s="1"/>
  <c r="J72" i="5"/>
  <c r="K72" i="5" s="1"/>
  <c r="J106" i="5"/>
  <c r="G121" i="5"/>
  <c r="I121" i="5" s="1"/>
  <c r="J87" i="5"/>
  <c r="K87" i="5" s="1"/>
  <c r="K99" i="5"/>
  <c r="J73" i="5"/>
  <c r="K73" i="5" s="1"/>
  <c r="J107" i="5"/>
  <c r="J99" i="5"/>
  <c r="J103" i="5"/>
  <c r="G99" i="5"/>
  <c r="I99" i="5" s="1"/>
  <c r="J65" i="5"/>
  <c r="K65" i="5" s="1"/>
  <c r="G95" i="5"/>
  <c r="I95" i="5" s="1"/>
  <c r="J61" i="5"/>
  <c r="K61" i="5" s="1"/>
  <c r="T127" i="5"/>
  <c r="J70" i="5"/>
  <c r="K70" i="5" s="1"/>
  <c r="J86" i="5"/>
  <c r="K86" i="5" s="1"/>
  <c r="J63" i="5"/>
  <c r="K63" i="5" s="1"/>
  <c r="G104" i="5"/>
  <c r="I104" i="5" s="1"/>
  <c r="J111" i="5"/>
  <c r="G120" i="5"/>
  <c r="I120" i="5" s="1"/>
  <c r="G97" i="5"/>
  <c r="I97" i="5" s="1"/>
  <c r="G111" i="5"/>
  <c r="I111" i="5" s="1"/>
  <c r="T129" i="5"/>
  <c r="K110" i="5"/>
  <c r="J115" i="5"/>
  <c r="G115" i="5"/>
  <c r="I115" i="5" s="1"/>
  <c r="K64" i="5"/>
  <c r="K67" i="5"/>
  <c r="F28" i="11"/>
  <c r="H28" i="11" s="1"/>
  <c r="Y28" i="11"/>
  <c r="AA28" i="11" s="1"/>
  <c r="K75" i="5"/>
  <c r="K66" i="5"/>
  <c r="K74" i="5"/>
  <c r="K59" i="5"/>
  <c r="K68" i="5"/>
  <c r="K71" i="5"/>
  <c r="G118" i="5"/>
  <c r="I118" i="5" s="1"/>
  <c r="T130" i="5"/>
  <c r="J84" i="5"/>
  <c r="K84" i="5" s="1"/>
  <c r="K80" i="5"/>
  <c r="K116" i="5"/>
  <c r="K62" i="5"/>
  <c r="K76" i="5"/>
  <c r="G92" i="5"/>
  <c r="I92" i="5" s="1"/>
  <c r="J58" i="5"/>
  <c r="K58" i="5" s="1"/>
  <c r="T126" i="5"/>
  <c r="K92" i="5"/>
  <c r="J92" i="5"/>
  <c r="S130" i="5"/>
  <c r="S127" i="5"/>
  <c r="S129" i="5"/>
  <c r="S128" i="5"/>
  <c r="K131" i="5"/>
  <c r="S126" i="5"/>
  <c r="R131" i="5"/>
  <c r="L74" i="5" l="1"/>
  <c r="M74" i="5"/>
  <c r="L79" i="5"/>
  <c r="M79" i="5"/>
  <c r="L75" i="5"/>
  <c r="M75" i="5"/>
  <c r="L72" i="5"/>
  <c r="M72" i="5"/>
  <c r="L65" i="5"/>
  <c r="M65" i="5"/>
  <c r="L69" i="5"/>
  <c r="M69" i="5"/>
  <c r="L84" i="5"/>
  <c r="M84" i="5"/>
  <c r="L66" i="5"/>
  <c r="M66" i="5"/>
  <c r="L63" i="5"/>
  <c r="M63" i="5"/>
  <c r="L60" i="5"/>
  <c r="M60" i="5"/>
  <c r="L58" i="5"/>
  <c r="M58" i="5"/>
  <c r="L86" i="5"/>
  <c r="M86" i="5"/>
  <c r="L81" i="5"/>
  <c r="M81" i="5"/>
  <c r="L70" i="5"/>
  <c r="M70" i="5"/>
  <c r="L85" i="5"/>
  <c r="M85" i="5"/>
  <c r="L82" i="5"/>
  <c r="M82" i="5"/>
  <c r="L77" i="5"/>
  <c r="M77" i="5"/>
  <c r="L80" i="5"/>
  <c r="M80" i="5"/>
  <c r="L76" i="5"/>
  <c r="M76" i="5"/>
  <c r="L83" i="5"/>
  <c r="M83" i="5"/>
  <c r="L62" i="5"/>
  <c r="M62" i="5"/>
  <c r="L61" i="5"/>
  <c r="M61" i="5"/>
  <c r="L71" i="5"/>
  <c r="M71" i="5"/>
  <c r="L73" i="5"/>
  <c r="M73" i="5"/>
  <c r="L68" i="5"/>
  <c r="M68" i="5"/>
  <c r="L67" i="5"/>
  <c r="M67" i="5"/>
  <c r="L59" i="5"/>
  <c r="M59" i="5"/>
  <c r="L64" i="5"/>
  <c r="M64" i="5"/>
  <c r="L87" i="5"/>
  <c r="M87" i="5"/>
  <c r="K16" i="16"/>
  <c r="K18" i="16"/>
  <c r="U126" i="5"/>
  <c r="U128" i="5"/>
  <c r="U130" i="5"/>
  <c r="U129" i="5"/>
  <c r="U127" i="5"/>
  <c r="S131" i="5"/>
  <c r="X126" i="5" l="1"/>
  <c r="Y129" i="5"/>
  <c r="W128" i="5"/>
  <c r="X130" i="5"/>
  <c r="W127" i="5"/>
  <c r="Y127" i="5"/>
  <c r="Y128" i="5"/>
  <c r="N62" i="5"/>
  <c r="X127" i="5"/>
  <c r="N78" i="5"/>
  <c r="X128" i="5"/>
  <c r="W126" i="5"/>
  <c r="Y126" i="5"/>
  <c r="X129" i="5"/>
  <c r="N64" i="5"/>
  <c r="N73" i="5"/>
  <c r="W129" i="5"/>
  <c r="N83" i="5"/>
  <c r="N82" i="5"/>
  <c r="N86" i="5"/>
  <c r="N66" i="5"/>
  <c r="N72" i="5"/>
  <c r="Y130" i="5"/>
  <c r="N67" i="5"/>
  <c r="N77" i="5"/>
  <c r="N63" i="5"/>
  <c r="N65" i="5"/>
  <c r="N74" i="5"/>
  <c r="N59" i="5"/>
  <c r="N58" i="5"/>
  <c r="N84" i="5"/>
  <c r="W130" i="5"/>
  <c r="N61" i="5"/>
  <c r="N80" i="5"/>
  <c r="N70" i="5"/>
  <c r="N60" i="5"/>
  <c r="N69" i="5"/>
  <c r="N79" i="5"/>
  <c r="N81" i="5"/>
  <c r="N71" i="5"/>
  <c r="N76" i="5"/>
  <c r="I26" i="5"/>
  <c r="N85" i="5"/>
  <c r="N75" i="5"/>
  <c r="N87" i="5"/>
  <c r="N68"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<sst xmlns="http://schemas.openxmlformats.org/spreadsheetml/2006/main" count="1260" uniqueCount="631">
  <si>
    <t>iSSDLC Capabilities Assessment</t>
  </si>
  <si>
    <r>
      <rPr>
        <b/>
        <sz val="10"/>
        <rFont val="Arial"/>
        <family val="2"/>
      </rPr>
      <t>Description</t>
    </r>
    <r>
      <rPr>
        <sz val="10"/>
        <rFont val="Arial"/>
        <family val="2"/>
      </rPr>
      <t xml:space="preserve">
The purpose of the</t>
    </r>
    <r>
      <rPr>
        <i/>
        <sz val="10"/>
        <rFont val="Arial"/>
        <family val="2"/>
      </rPr>
      <t xml:space="preserve"> iSSDLC Capability Assessment </t>
    </r>
    <r>
      <rPr>
        <sz val="10"/>
        <rFont val="Arial"/>
        <family val="2"/>
      </rPr>
      <t xml:space="preserve">is to assess the maturity of the organization's secure software delivery lifecycle. The assessment focuses on the organization's current application security practices and maturity levels, identifying their target state, and developing a roadmap to achieve their desired state. Use the tool with the associated project blueprint, </t>
    </r>
    <r>
      <rPr>
        <i/>
        <sz val="10"/>
        <rFont val="Arial"/>
        <family val="2"/>
      </rPr>
      <t>Develop a Strategic Plan for Intelligent Application Security</t>
    </r>
    <r>
      <rPr>
        <sz val="10"/>
        <rFont val="Arial"/>
        <family val="2"/>
      </rPr>
      <t xml:space="preserve"> and its tools and templates.
</t>
    </r>
  </si>
  <si>
    <t>For acceptable use of this tool, refer to Info-Tech's Terms of Use. These documents are intended to supply general information only, not specific professional or personal advice, and are not intended to be used as a substitute for any kind of professional advice. Use this document either in whole or in part as a basis and guide for document creation. To customize this document with corporate marks and titles, simply replace the Info-Tech information in the Header and Footer fields of this document.</t>
  </si>
  <si>
    <t>Tool Configuration</t>
  </si>
  <si>
    <r>
      <t xml:space="preserve">The settings on this tab will configure the tool for your organization. You can enter:
- The security alignment with business benefit and additional application security benefits, which inform the prioritization on Tab 6.
</t>
    </r>
    <r>
      <rPr>
        <i/>
        <sz val="10"/>
        <rFont val="Arial"/>
        <family val="2"/>
      </rPr>
      <t xml:space="preserve">- </t>
    </r>
    <r>
      <rPr>
        <sz val="10"/>
        <rFont val="Arial"/>
        <family val="2"/>
      </rPr>
      <t>Initiative cost and benefits estimates, which populate the cost-benefit tables and menus on Tab 6.
- Full-time equivalent hours, which inform the cost and effort calculations on Tab 6.
- The roadmap start year, which informs the start date on the Tab 7.
Review the instructions for each setting to determine how to modify it.</t>
    </r>
  </si>
  <si>
    <r>
      <rPr>
        <b/>
        <sz val="10"/>
        <rFont val="Arial"/>
        <family val="2"/>
      </rPr>
      <t>Initiative Cost Estimation</t>
    </r>
    <r>
      <rPr>
        <sz val="10"/>
        <rFont val="Arial"/>
        <family val="2"/>
      </rPr>
      <t xml:space="preserve">
Use this section to provide initial cost estimate values for the initiative prioritization on Tab 6.
In column E below (Range), enter appropriate ranges for high, medium, and low costs and efforts to be used to do costing estimations on initiatives. In column F below (Average), enter appropriate averages for each range; these averages will be used to calculate total costs for your application security roadmap.</t>
    </r>
  </si>
  <si>
    <t>Initiative Costs for Estimation</t>
  </si>
  <si>
    <t>Range</t>
  </si>
  <si>
    <t>Average</t>
  </si>
  <si>
    <t>Initial Cost</t>
  </si>
  <si>
    <t>High</t>
  </si>
  <si>
    <t>&gt;$100K</t>
  </si>
  <si>
    <t>Medium</t>
  </si>
  <si>
    <t>$10K-$100K</t>
  </si>
  <si>
    <t>Low</t>
  </si>
  <si>
    <t>&lt;$10,000</t>
  </si>
  <si>
    <t>Ongoing Cost
(annual)</t>
  </si>
  <si>
    <t>Initial Staffing in Hours</t>
  </si>
  <si>
    <t xml:space="preserve"> &gt;160 Hours</t>
  </si>
  <si>
    <t>40-160 Hours</t>
  </si>
  <si>
    <t xml:space="preserve"> &lt;40 Hours</t>
  </si>
  <si>
    <t>Ongoing Staffing in Full-Time Equivalents (FTEs)</t>
  </si>
  <si>
    <t>&gt;0.5 FTE</t>
  </si>
  <si>
    <t>0.1-0.5 FTE</t>
  </si>
  <si>
    <t>&lt;0.1 FTE</t>
  </si>
  <si>
    <r>
      <rPr>
        <b/>
        <sz val="10"/>
        <rFont val="Arial"/>
        <family val="2"/>
      </rPr>
      <t>Security Initiative Benefit</t>
    </r>
    <r>
      <rPr>
        <sz val="10"/>
        <rFont val="Arial"/>
        <family val="2"/>
      </rPr>
      <t xml:space="preserve">
Use this section to define menu options for initiative prioritization on Tab 6.
In column E below (Description), you may modify the descriptions of the high, medium, and low criteria that will be used in the benefit estimations on initiatives. 
The benefit estimation includes alignment with business benefit in terms of supporting business opportunities, along with security benefit in terms of mitigating priority threats. Further selection of these benefits will be captured on Tab 3.</t>
    </r>
  </si>
  <si>
    <t>Initiative Benefits for Estimation</t>
  </si>
  <si>
    <t>Description</t>
  </si>
  <si>
    <t>Alignment With Business Benefit</t>
  </si>
  <si>
    <t>Supports multiple priority opportunities</t>
  </si>
  <si>
    <t>Supports a priority opportunity</t>
  </si>
  <si>
    <t>Other</t>
  </si>
  <si>
    <t>Security Benefit</t>
  </si>
  <si>
    <t>Mitigates multiple priority threats</t>
  </si>
  <si>
    <t>Mitigates a priority threat</t>
  </si>
  <si>
    <t>Foundational good practice</t>
  </si>
  <si>
    <r>
      <rPr>
        <b/>
        <sz val="10"/>
        <rFont val="Arial"/>
        <family val="2"/>
      </rPr>
      <t>FTE Equivalent</t>
    </r>
    <r>
      <rPr>
        <sz val="10"/>
        <rFont val="Arial"/>
        <family val="2"/>
      </rPr>
      <t xml:space="preserve">
Use this section to define FTE values.
Enter the number of hours per year that your organization uses to define a full-time equivalent (FTE). This number will be used to provide total effort requirements for initiatives on Tab 6.</t>
    </r>
  </si>
  <si>
    <t>Full-Time Equivalent Hours</t>
  </si>
  <si>
    <r>
      <rPr>
        <b/>
        <sz val="10"/>
        <rFont val="Arial"/>
        <family val="2"/>
      </rPr>
      <t xml:space="preserve">Roadmap Start Year
</t>
    </r>
    <r>
      <rPr>
        <sz val="10"/>
        <rFont val="Arial"/>
        <family val="2"/>
      </rPr>
      <t>Use this number to define the start year for the roadmap on Tab 7.
Enter the starting year for your application security roadmap.</t>
    </r>
  </si>
  <si>
    <t>Roadmap Start Year</t>
  </si>
  <si>
    <t>Goals</t>
  </si>
  <si>
    <r>
      <t xml:space="preserve">The settings on this tab will configure the tool for your organization. 
You will define your </t>
    </r>
    <r>
      <rPr>
        <b/>
        <sz val="10"/>
        <rFont val="Arial"/>
        <family val="2"/>
      </rPr>
      <t xml:space="preserve">primary business opportunities, security threats, and metrics, </t>
    </r>
    <r>
      <rPr>
        <sz val="10"/>
        <rFont val="Arial"/>
        <family val="2"/>
      </rPr>
      <t>that will assist in the prioritization of application security capability initiatives.</t>
    </r>
  </si>
  <si>
    <t>Business Opportunity</t>
  </si>
  <si>
    <t>Definition</t>
  </si>
  <si>
    <t>Priority Business Opportunities</t>
  </si>
  <si>
    <r>
      <t>Use this section to determine your primary business opportunities for your organization. Leverage the list of business opportunities in the table on the right</t>
    </r>
    <r>
      <rPr>
        <b/>
        <sz val="10"/>
        <rFont val="Arial"/>
        <family val="2"/>
      </rPr>
      <t xml:space="preserve"> </t>
    </r>
    <r>
      <rPr>
        <sz val="10"/>
        <rFont val="Arial"/>
        <family val="2"/>
      </rPr>
      <t>to select up to three business opportunities that should be considered when implementing the iSSDLC.</t>
    </r>
  </si>
  <si>
    <t>Security Threats</t>
  </si>
  <si>
    <t>Importance From Executive Level</t>
  </si>
  <si>
    <t>Priority Security Threats</t>
  </si>
  <si>
    <t>Use this section to identify the top application security threats to the organization based on its importance to executives. Leverage the list of security threats in the table on the right to select up to three security threats as primary drivers for the iSSDLC.</t>
  </si>
  <si>
    <t>Security Metrics</t>
  </si>
  <si>
    <t>How to Measure</t>
  </si>
  <si>
    <t>Priority Security Metrics</t>
  </si>
  <si>
    <t>Use this section to identify the security metrics you would want to measure for your application security modernization initiatives. Leverage the list of security metrics in the table on the right to select up to four security metrics.</t>
  </si>
  <si>
    <t>Time to Patch Zero-Day Vulnerabilities</t>
  </si>
  <si>
    <t>Percentage of Third-Party Components Without Known Vulnerabilities</t>
  </si>
  <si>
    <t>Insider Threat Detections</t>
  </si>
  <si>
    <t>% of Business Applications with Risk-Based Classification</t>
  </si>
  <si>
    <t>Application Security Capabilities Assessment</t>
  </si>
  <si>
    <t>Automated</t>
  </si>
  <si>
    <t>Capabilities Assessment</t>
  </si>
  <si>
    <t>Capability</t>
  </si>
  <si>
    <t>Current State</t>
  </si>
  <si>
    <t>Target State</t>
  </si>
  <si>
    <t>Review each of the iSSDLC capabilities defined in column D. Then:
1) Enter the current state of the capability in column K, and optionally include comments about the current state in column L.
2) Define your target state for the capability in column M.
3) If you plan to improve the capability, use the drop-down list in column N to indicate the name of the planned initiative for this work. If you need to add or change initiatives, you can do so on tab 4. Columns O and P provide basic information on some of the tools available to improve each capability. Visit softwarereviews.com for more information on available technology.</t>
  </si>
  <si>
    <t>Maturity Level</t>
  </si>
  <si>
    <t>Prioritization Legend:</t>
  </si>
  <si>
    <t>Manual</t>
  </si>
  <si>
    <t>Capability is ad-hoc and entirely human-driven. Little or no tooling; success depends on individual effort and group knowledge.</t>
  </si>
  <si>
    <t>Capability is aligned with three or more opportunities/threats</t>
  </si>
  <si>
    <t>Assisted</t>
  </si>
  <si>
    <t>Basic tools, checklists, or templates help humans find issues or follow best practices, but people still decide and perform every task.</t>
  </si>
  <si>
    <t>Capability is aligned with two opportunities/threats</t>
  </si>
  <si>
    <t>Orchestrated</t>
  </si>
  <si>
    <t>Tool-driven, multi-step workflows carry out security tasks end-to-end (e.g. scans → PRs → tests) while humans provide oversight and final approval at defined risk gates.</t>
  </si>
  <si>
    <t>Capability is aligned with an opportunity or threat</t>
  </si>
  <si>
    <t>Analytics and AI adapt controls continuously, remediate most routine issues without waiting for people, and escalate only edge cases. Security processes run largely hands-free.</t>
  </si>
  <si>
    <t>Autonomous</t>
  </si>
  <si>
    <t>Humans set strategy and ethics. AI agents operate, learn, and optimize security end-to-end with minimal human input. The iSSDLC capability proves compliance on its own.</t>
  </si>
  <si>
    <t>Example capability description per maturity level</t>
  </si>
  <si>
    <t>iSSDLC Phases</t>
  </si>
  <si>
    <t>ID</t>
  </si>
  <si>
    <t>L1 – Manual</t>
  </si>
  <si>
    <t>L2 – Assisted</t>
  </si>
  <si>
    <t>L3 – Orchestrated</t>
  </si>
  <si>
    <t>L4 – Automated</t>
  </si>
  <si>
    <t>L5 – Autonomous</t>
  </si>
  <si>
    <t>Current State Comments</t>
  </si>
  <si>
    <t>Initiative</t>
  </si>
  <si>
    <t>Example Tools</t>
  </si>
  <si>
    <t>Example Vendors</t>
  </si>
  <si>
    <t>Analyze &amp; Design</t>
  </si>
  <si>
    <t>AD.01</t>
  </si>
  <si>
    <t>Security Requirements Definition</t>
  </si>
  <si>
    <t>Document explicit security objectives and control requirements early.</t>
  </si>
  <si>
    <t>Unstructured requirements verbally shared, rarely documented.</t>
  </si>
  <si>
    <t>Checklist templates guide writing, still manual approval.</t>
  </si>
  <si>
    <t>Workflow triggers requirement forms; stakeholders approve via portal.</t>
  </si>
  <si>
    <t>Analytics map requirements to controls automatically; gaps flagged instantly.</t>
  </si>
  <si>
    <t>AI agents evolve requirements, verify compliance continuously, report autonomously.</t>
  </si>
  <si>
    <t>Implement Secure SDLC Requirements Gathering Templates</t>
  </si>
  <si>
    <t>Requirements management tools, Secure SDLC platforms</t>
  </si>
  <si>
    <t>Jira Security, Azure Boards, IriusRisk, ThreatSpec</t>
  </si>
  <si>
    <t>AD.02</t>
  </si>
  <si>
    <t>Threat Modeling</t>
  </si>
  <si>
    <t>Systematically identify and prioritize threats and mitigations.</t>
  </si>
  <si>
    <t>Threats brainstormed informally, inconsistent, undocumented.</t>
  </si>
  <si>
    <t>Templates guide threat lists; analysts decide mitigations.</t>
  </si>
  <si>
    <t>Orchestration runs model generation; reviewers approve high-risk issues.</t>
  </si>
  <si>
    <t>AI updates threat models continuously; auto-assigns mitigations.</t>
  </si>
  <si>
    <t>Agents predict emerging threats, deploy mitigations proactively.</t>
  </si>
  <si>
    <t>Deploy Threat Modeling Automation Tools (e.g., ThreatSpec, IriusRisk)</t>
  </si>
  <si>
    <t>Threat modeling tools</t>
  </si>
  <si>
    <t>Microsoft TMT, IriusRisk, ThreatModeler, OWASP Threat Dragon</t>
  </si>
  <si>
    <t>AD.03</t>
  </si>
  <si>
    <t>Secure Architecture Design</t>
  </si>
  <si>
    <t>Embed security principles in system architecture.</t>
  </si>
  <si>
    <t>Architecture decisions ignore security or rely on memories.</t>
  </si>
  <si>
    <t>Reference checklists consulted; engineers manually embed controls.</t>
  </si>
  <si>
    <t>Design workflow enforces pattern libraries and security gate approvals.</t>
  </si>
  <si>
    <t>Automated reasoning suggests secure patterns, validates architecture.</t>
  </si>
  <si>
    <t>Self-optimizing architecture refactors for emerging security objectives.</t>
  </si>
  <si>
    <t>N/A</t>
  </si>
  <si>
    <t>Establish Secure Architecture Review Board</t>
  </si>
  <si>
    <t>Design validation &amp; architecture modeling tools</t>
  </si>
  <si>
    <t>AWS Well‑Architected Tool, IBM Security Blueprint, ArchiMate plug‑ins</t>
  </si>
  <si>
    <t>AD.04</t>
  </si>
  <si>
    <t>Zero Trust Architecture</t>
  </si>
  <si>
    <t>Develop an architecture with continuous identity, device, and context verification.</t>
  </si>
  <si>
    <t>Perimeter defenses only; trust internal network implicitly.</t>
  </si>
  <si>
    <t>Scripts verify identities manually for critical paths.</t>
  </si>
  <si>
    <t>Workflow provisions micro-segmentation; approvals enforce least privilege.</t>
  </si>
  <si>
    <t>Adaptive policies enforced automatically across identity, device, context.</t>
  </si>
  <si>
    <t>Autonomous system continuously evaluates trust, reconfigures architecture.</t>
  </si>
  <si>
    <t>Identity &amp; access management, micro-segmentation</t>
  </si>
  <si>
    <t>Zscaler, Okta, Cloudflare Zero Trust, Cisco Duo</t>
  </si>
  <si>
    <t>AD.05</t>
  </si>
  <si>
    <t>Secure AI/ML Design</t>
  </si>
  <si>
    <t>Protect ML and AI models and components.</t>
  </si>
  <si>
    <t>Data sources unverified; lineage undocumented.</t>
  </si>
  <si>
    <t>Scripts track datasets; manual integrity checks.</t>
  </si>
  <si>
    <t>Workflows enforce provenance tagging; risk gate reviews.</t>
  </si>
  <si>
    <t>Analytics detect poisoned data automatically.</t>
  </si>
  <si>
    <t>Agents curate datasets, verify compliance continuously.</t>
  </si>
  <si>
    <t>ML security platforms, data masking &amp; encryption tools</t>
  </si>
  <si>
    <t>Azure ML, Google Vertex AI, IBM watsonx.governance, Protect AI</t>
  </si>
  <si>
    <t>AD.06</t>
  </si>
  <si>
    <t>AI/ML Training Data Collection Security</t>
  </si>
  <si>
    <t>Ensure training dataset provenance, integrity, and compliance.</t>
  </si>
  <si>
    <t>Scraped data stored unvalidated.</t>
  </si>
  <si>
    <t>Manual sample review checklist.</t>
  </si>
  <si>
    <t>Pipeline verifies schema &amp; hashes.</t>
  </si>
  <si>
    <t>Classifier flags poisoned/toxic data.</t>
  </si>
  <si>
    <t>Agent curates, labels, sanitizes continuously.</t>
  </si>
  <si>
    <t>Implement Secure AI/ML Design Controls &amp; Data Lineage Tracking</t>
  </si>
  <si>
    <t>Data lineage tools, access governance platforms</t>
  </si>
  <si>
    <t>Great Expectations, DataHub, Immuta, LakeFS</t>
  </si>
  <si>
    <t>AD.07</t>
  </si>
  <si>
    <t>Secure Design Review &amp; Assurance</t>
  </si>
  <si>
    <t>Independent verification of design to meet security needs.</t>
  </si>
  <si>
    <t>Occasional informal design reviews by security champion.</t>
  </si>
  <si>
    <t>Checklist-based reviews scheduled; findings tracked manually.</t>
  </si>
  <si>
    <t>Orchestrated ticketing assigns reviewers, collects evidence automatically.</t>
  </si>
  <si>
    <t>AI analyzes designs, flags violations, autogenerates reports.</t>
  </si>
  <si>
    <t>Agents certify design compliance continuously, adapt controls.</t>
  </si>
  <si>
    <t>Secure Design Improvements</t>
  </si>
  <si>
    <t>SDLC review checklists, architecture scanning</t>
  </si>
  <si>
    <t>Confluence templates, Lucidchart, IriusRisk reviews</t>
  </si>
  <si>
    <t>Build</t>
  </si>
  <si>
    <t>BU.01</t>
  </si>
  <si>
    <t>Secure Coding Practices &amp; Training</t>
  </si>
  <si>
    <t>Apply security coding guidelines and train developers on security best practices.</t>
  </si>
  <si>
    <t>Developers unaware of secure coding, local knowledge only.</t>
  </si>
  <si>
    <t>Static checklist; yearly classroom training.</t>
  </si>
  <si>
    <t>Integrated LMS tracks modules, reminders via pipelines.</t>
  </si>
  <si>
    <t>AI personalizes just-in-time training suggestions in IDE.</t>
  </si>
  <si>
    <t>Autonomous coach agents guide coding, update lessons continuously.</t>
  </si>
  <si>
    <t>Train Developers on Secure Coding Practices (OWASP Top 10)</t>
  </si>
  <si>
    <t>Developer education platforms, coding policy engines</t>
  </si>
  <si>
    <t>Semgrep, SonarLint, GitHub Copilot, OWASP ASVS</t>
  </si>
  <si>
    <t>BU.02</t>
  </si>
  <si>
    <t>Secure Code Review &amp; Static Analysis</t>
  </si>
  <si>
    <t>Use peer and automated review to find code flaws.</t>
  </si>
  <si>
    <t>Peer reviews sporadic; no tooling.</t>
  </si>
  <si>
    <t>Static scanners run manually before merge.</t>
  </si>
  <si>
    <t>Pipeline orchestrates scans, opens pull-request issues.</t>
  </si>
  <si>
    <t>AI triages findings, auto-fixes common patterns.</t>
  </si>
  <si>
    <t>Agents rewrite code securely, prove correctness.</t>
  </si>
  <si>
    <t>Integrate SAST Tools into CI Pipeline</t>
  </si>
  <si>
    <t>SAST tools</t>
  </si>
  <si>
    <t>GitHub CodeQL, SonarQube, Checkmarx, Fortify</t>
  </si>
  <si>
    <t>BU.03</t>
  </si>
  <si>
    <t>Software Supply Chain Security</t>
  </si>
  <si>
    <t>Manage risk from third‑party code &amp; builds.</t>
  </si>
  <si>
    <t>Third-party components managed ad-hoc.</t>
  </si>
  <si>
    <t>Dependency lists maintained with occasional vulnerability checks.</t>
  </si>
  <si>
    <t>Automated SBOM generation and orchestrated patch workflows.</t>
  </si>
  <si>
    <t>Continuous monitoring, AI blocks vulnerable packages.</t>
  </si>
  <si>
    <t>Agents predict risks, swap dependencies proactively.</t>
  </si>
  <si>
    <t>Automate Software Composition Analysis &amp; Supply Chain Scanning</t>
  </si>
  <si>
    <t>Software composition analysis (SCA) tools</t>
  </si>
  <si>
    <t>Snyk, Anchore, Chainguard, GitGuardian, Sigstore</t>
  </si>
  <si>
    <t>BU.04</t>
  </si>
  <si>
    <t>Secure Build &amp; CI/CD Pipeline</t>
  </si>
  <si>
    <t>Harden and validate build &amp; release pipelines.</t>
  </si>
  <si>
    <t>Build scripts shared manually; integrity unchecked.</t>
  </si>
  <si>
    <t>Basic pipeline with manual security steps.</t>
  </si>
  <si>
    <t>Orchestration runs security stages automatically; approvals required.</t>
  </si>
  <si>
    <t>Telemetry adjusts pipeline security controls dynamically.</t>
  </si>
  <si>
    <t>Self-healing pipeline enforces, optimizes security continuously.</t>
  </si>
  <si>
    <t>Enhance CI/CD Pipelines with Secrets Scanning &amp; Signing Tools</t>
  </si>
  <si>
    <t>Secure CI/CD orchestration platforms</t>
  </si>
  <si>
    <t>GitHub Actions, GitLab CI, Jenkins, CircleCI OIDC</t>
  </si>
  <si>
    <t>BU.05</t>
  </si>
  <si>
    <t>Secure Version Control &amp; Repository Management</t>
  </si>
  <si>
    <t>Protect code repositories from unauthorized or malicious changes.</t>
  </si>
  <si>
    <t>Open permissions; commits unaudited.</t>
  </si>
  <si>
    <t>Protected branches; manual code-owner reviews.</t>
  </si>
  <si>
    <t>Workflows enforce signed commits and permission gates.</t>
  </si>
  <si>
    <t>AI detects malicious commits and reverts automatically.</t>
  </si>
  <si>
    <t>Agents manage repository policies, optimize permissions autonomously.</t>
  </si>
  <si>
    <t>VCS platforms with security features</t>
  </si>
  <si>
    <t>GitHub Enterprise, GitLab Ultimate, Bitbucket, Gitea + GPG</t>
  </si>
  <si>
    <t>BU.06</t>
  </si>
  <si>
    <t>Secrets Management in Development</t>
  </si>
  <si>
    <t>Handle credentials &amp; keys safely in development.</t>
  </si>
  <si>
    <t>Secrets hard-coded in source.</t>
  </si>
  <si>
    <t>Environment variables used with manual rotation.</t>
  </si>
  <si>
    <t>Central vault orchestrated via pipelines.</t>
  </si>
  <si>
    <t>Automated rotation and injection by AI controller.</t>
  </si>
  <si>
    <t>Agents optimize secret usage, eliminate unnecessary credentials.</t>
  </si>
  <si>
    <t>Secret scanning &amp; vaulting tools</t>
  </si>
  <si>
    <t>HashiCorp Vault, AWS Secrets Manager, Azure Key Vault, Doppler</t>
  </si>
  <si>
    <t>Test</t>
  </si>
  <si>
    <t>TE.01</t>
  </si>
  <si>
    <t>Automated Security Testing</t>
  </si>
  <si>
    <t>Run automated security testing (i.e. DAST, IAST) against applications.</t>
  </si>
  <si>
    <t>No automated tests; manual checks occasional.</t>
  </si>
  <si>
    <t>DAST runs triggered manually.</t>
  </si>
  <si>
    <t>Pipeline orchestrates suite across environments.</t>
  </si>
  <si>
    <t>AI prioritizes findings, auto-creates tickets.</t>
  </si>
  <si>
    <t>Agents auto-remediate issues and retest continuously.</t>
  </si>
  <si>
    <t>CI-integrated security scanners (SAST/DAST/IAST)</t>
  </si>
  <si>
    <t>OWASP ZAP, Burp Suite Enterprise, Nessus, Synopsys Black Duck</t>
  </si>
  <si>
    <t>TE.02</t>
  </si>
  <si>
    <t>Penetration Testing &amp; Red Teaming</t>
  </si>
  <si>
    <t>Human adversarial testing for deep flaws.</t>
  </si>
  <si>
    <t>Rare, informal penetration tests.</t>
  </si>
  <si>
    <t>Annual external engagements with manual scope.</t>
  </si>
  <si>
    <t>Red-team exercises scheduled, findings integrated into backlog.</t>
  </si>
  <si>
    <t>Automated attack simulations run continuously.</t>
  </si>
  <si>
    <t>Adaptive adversarial agents test and harden systems autonomously.</t>
  </si>
  <si>
    <t>Establish Fuzzing and Red Team Engagement Programs</t>
  </si>
  <si>
    <t>Penetration testing platforms, red team kits</t>
  </si>
  <si>
    <t>Burp Pro, Kali Linux, Metasploit, Cobalt Strike, Randori</t>
  </si>
  <si>
    <t>TE.03</t>
  </si>
  <si>
    <t>Fuzz &amp; Chaos Testing</t>
  </si>
  <si>
    <t>Test with mutation and random input to provoke faults.</t>
  </si>
  <si>
    <t>Open-source fuzzers executed manually on ad-hoc basis.</t>
  </si>
  <si>
    <t>Fuzzers executed manually on a set schedule.</t>
  </si>
  <si>
    <t>Pipeline orchestrates fuzz jobs on targets.</t>
  </si>
  <si>
    <t>AI selects inputs and monitors impact automatically.</t>
  </si>
  <si>
    <t>Agents generate adversarial inputs and self-heal discovered weaknesses.</t>
  </si>
  <si>
    <t>Fuzz testing engines</t>
  </si>
  <si>
    <t>AFL++, libFuzzer, Mayhem, Synopsys Defensics</t>
  </si>
  <si>
    <t>TE.04</t>
  </si>
  <si>
    <t>Security Requirements Validation</t>
  </si>
  <si>
    <t>Prove system meets security requirements.</t>
  </si>
  <si>
    <t>Validation performed manually, inconsistently.</t>
  </si>
  <si>
    <t>Test scripts created manually to prove requirements.</t>
  </si>
  <si>
    <t>Orchestrated tests executed; results reviewed.</t>
  </si>
  <si>
    <t>AI correlates results to requirements and auto-flags failures.</t>
  </si>
  <si>
    <t>Agents continuously verify requirements and adjust controls proactively.</t>
  </si>
  <si>
    <t>Test automation + policy validation tools</t>
  </si>
  <si>
    <t>Jama Connect, Zephyr, Azure Test Plans, qTest</t>
  </si>
  <si>
    <t>TE.05</t>
  </si>
  <si>
    <t>Secure Test Environments &amp; Data Management</t>
  </si>
  <si>
    <t>Isolate test environments and protect data used for testing.</t>
  </si>
  <si>
    <t>Shared environments; test data unsecured.</t>
  </si>
  <si>
    <t>Manual masking, segregated environments limited.</t>
  </si>
  <si>
    <t>Workflows provision isolated, masked datasets automatically.</t>
  </si>
  <si>
    <t>AI monitors leaks and cleans environments on completion.</t>
  </si>
  <si>
    <t>Agents orchestrate secure environments with assured data governance.</t>
  </si>
  <si>
    <t>Test data masking/anonymization, sandboxing</t>
  </si>
  <si>
    <t>Delphix, Tonic.ai, Docker, K8s namespaces</t>
  </si>
  <si>
    <t>Deploy</t>
  </si>
  <si>
    <t>DE.01</t>
  </si>
  <si>
    <t>Secure Deployment &amp; Infrastructure‑as‑Code (IaC)</t>
  </si>
  <si>
    <t>Ensure infrastructure definitions and live configurations are securely authored, validated, deployed, and maintained.</t>
  </si>
  <si>
    <t>Scripts and IaC unmanaged; configs applied manually, insecure drift.</t>
  </si>
  <si>
    <t>Checklists and basic linters guide IaC; manual deployment approvals.</t>
  </si>
  <si>
    <t>CI/CD pipelines scan IaC and enforce configs and gate releases.</t>
  </si>
  <si>
    <t>AI auto-fixes IaC, deploys securely and remediates configuration drift.</t>
  </si>
  <si>
    <t>Agents self-generate infrastructure, optimize deployments, and prove compliance continuously.</t>
  </si>
  <si>
    <t>Deployment platforms with policy enforcement</t>
  </si>
  <si>
    <t>Ansible, Chef, Puppet, Terraform + Sentinel</t>
  </si>
  <si>
    <t>DE.02</t>
  </si>
  <si>
    <t>Container &amp; Orchestrator Security</t>
  </si>
  <si>
    <t>Secure images, runtime, and orchestration.</t>
  </si>
  <si>
    <t>Images built locally; security unchecked.</t>
  </si>
  <si>
    <t>Manual scans of container images.</t>
  </si>
  <si>
    <t>Pipeline enforces base image policies, orchestrator hardening.</t>
  </si>
  <si>
    <t>AI monitors runtime anomalies, auto-quarantines containers.</t>
  </si>
  <si>
    <t>Autonomous platform rebuilds images, mitigates threats pre-emptively.</t>
  </si>
  <si>
    <t>Implement IaC and Container Security Scanning</t>
  </si>
  <si>
    <t>Container security platforms</t>
  </si>
  <si>
    <t>Aqua, Prisma Cloud, Sysdig Secure, Kubescape</t>
  </si>
  <si>
    <t>DE.03</t>
  </si>
  <si>
    <t>Policy‑as‑Code (PaC) Deployment</t>
  </si>
  <si>
    <t>Encode and enforce policies as code.</t>
  </si>
  <si>
    <t>Policies documented offline; enforced manually.</t>
  </si>
  <si>
    <t>Scripts check policies on demand.</t>
  </si>
  <si>
    <t>PaC integrated into pipeline, gate approvals.</t>
  </si>
  <si>
    <t>Analytics tune policies; policies auto-enforced across environments.</t>
  </si>
  <si>
    <t>Agents evolve policies, verify adherence continuously.</t>
  </si>
  <si>
    <t>Adopt Policy-as-Code for Automated Security Governance</t>
  </si>
  <si>
    <t>Policy engines for infrastructure &amp; pipelines</t>
  </si>
  <si>
    <t>Open Policy Agent, Styra DAS, Kyverno, Sentinel</t>
  </si>
  <si>
    <t>DE.04</t>
  </si>
  <si>
    <t>Artifact Signing &amp; Provenance</t>
  </si>
  <si>
    <t>Cryptographically sign and attest artifacts.</t>
  </si>
  <si>
    <t>Builds unsigned; origin uncertain.</t>
  </si>
  <si>
    <t>Signing performed manually for releases.</t>
  </si>
  <si>
    <t>Workflow signs artifacts, stores provenance metadata.</t>
  </si>
  <si>
    <t>AI validates signatures and blocks tampered artifacts.</t>
  </si>
  <si>
    <t>Agents manage cryptographic materials and attest supply chain automatically.</t>
  </si>
  <si>
    <t>Software artifact attestation tools</t>
  </si>
  <si>
    <t>Sigstore/cosign, Notary v2, JFrog Artifactory, in‑toto</t>
  </si>
  <si>
    <t>DE.05</t>
  </si>
  <si>
    <t>Deployment Security Gates &amp; Reviews</t>
  </si>
  <si>
    <t>Automated approval gates for release risk.</t>
  </si>
  <si>
    <t>Releases happen without security approval.</t>
  </si>
  <si>
    <t>Manual gate checklists before deployment.</t>
  </si>
  <si>
    <t>Orchestrated approval gates integrate risk scores.</t>
  </si>
  <si>
    <t>AI evaluates risk, approves low-risk releases instantly.</t>
  </si>
  <si>
    <t>Autonomous governance continuously governs release readiness.</t>
  </si>
  <si>
    <t>CI/CD approval gates, release compliance</t>
  </si>
  <si>
    <t>Spinnaker, Argo CD, LaunchDarkly, Harness</t>
  </si>
  <si>
    <t>Operate &amp; Maintain</t>
  </si>
  <si>
    <t>OM.01</t>
  </si>
  <si>
    <t>Security Monitoring &amp; Threat Detection</t>
  </si>
  <si>
    <t>Monitor applications in operation for security threats.</t>
  </si>
  <si>
    <t>Minimal logging; alerts reactive only.</t>
  </si>
  <si>
    <t>Basic dashboards with manual alert triage.</t>
  </si>
  <si>
    <t>Orchestrated SIEM pipelines aggregate, correlate events.</t>
  </si>
  <si>
    <t>AI detects anomalies and triggers playbooks automatically.</t>
  </si>
  <si>
    <t>Agents predict attacks and auto-mitigate in real-time.</t>
  </si>
  <si>
    <t>Deploy Centralized Security Monitoring and Threat Detection Tools</t>
  </si>
  <si>
    <t>Cloud security monitoring &amp; SIEM</t>
  </si>
  <si>
    <t>Splunk, Elastic Security, CrowdStrike, Datadog SIEM, Microsoft Sentinel</t>
  </si>
  <si>
    <t>OM.02</t>
  </si>
  <si>
    <t>Incident Response &amp; Recovery</t>
  </si>
  <si>
    <t>Handle security incidents and restore service.</t>
  </si>
  <si>
    <t>Ad-hoc response; documentation lacking.</t>
  </si>
  <si>
    <t>Runbooks exist; responders follow manually.</t>
  </si>
  <si>
    <t>Orchestration coordinates tasks, communication channels.</t>
  </si>
  <si>
    <t>AI suggests containment actions, collects evidence automatically.</t>
  </si>
  <si>
    <t>Agents contain, eradicate, restore services autonomously.</t>
  </si>
  <si>
    <t>SOAR platforms, IR coordination tools</t>
  </si>
  <si>
    <t>PagerDuty, ServiceNow IR, Splunk SOAR, IBM Resilient, Cortex XSOAR</t>
  </si>
  <si>
    <t>OM.03</t>
  </si>
  <si>
    <t>Vulnerability Management &amp; Patching</t>
  </si>
  <si>
    <t>Identify, prioritize, and fix vulnerabilities in applications and underlying operating systems.</t>
  </si>
  <si>
    <t>Patching done ad-hoc.</t>
  </si>
  <si>
    <t>Spreadsheet tracks vulnerabilities; manual updates.</t>
  </si>
  <si>
    <t>Toolchain orchestrates scans, ticketing, scheduling.</t>
  </si>
  <si>
    <t>AI prioritizes based on risk, automates patch deployment.</t>
  </si>
  <si>
    <t>Agents predict vulnerabilities, patch proactively before disclosure.</t>
  </si>
  <si>
    <t>Integrate Patch Management &amp; Vulnerability Scanning Automation</t>
  </si>
  <si>
    <t>VM platforms, patch management tools</t>
  </si>
  <si>
    <t>Qualys VMDR, Rapid7 InsightVM, Tenable.sc, WSUS</t>
  </si>
  <si>
    <t>OM.04</t>
  </si>
  <si>
    <t>API Security</t>
  </si>
  <si>
    <t>Securely deploy and monitor API gateways.</t>
  </si>
  <si>
    <t>Ad-hoc endpoints, no inventory; security issues found post-incident.</t>
  </si>
  <si>
    <t>API inventory spreadsheet; developers follow an “OWASP API Top 10” checklist before release.</t>
  </si>
  <si>
    <t>CI pipeline runs contract linting; gateway enforces authN/Z and rate limits.</t>
  </si>
  <si>
    <t>API discovery keeps inventory current; inline WAF/WAAP adapts rules; automated regression tests.</t>
  </si>
  <si>
    <t>AI agents correlate traffic anomalies, isolate suspicious tokens, and push mitigations.</t>
  </si>
  <si>
    <t>API security, API discovery platforms</t>
  </si>
  <si>
    <t>Salt Security, Akamai API Security, Cloudflare API Shield</t>
  </si>
  <si>
    <t>OM.05</t>
  </si>
  <si>
    <t>Environment Management &amp; Configuration</t>
  </si>
  <si>
    <t>Maintain secure configs across environments.</t>
  </si>
  <si>
    <t>Configurations disparate with unmanaged drift.</t>
  </si>
  <si>
    <t>Scripts apply configs; drift checked monthly.</t>
  </si>
  <si>
    <t>Pipeline enforces desired state across environments.</t>
  </si>
  <si>
    <t>Telemetry detects drift, remediates automatically.</t>
  </si>
  <si>
    <t>Agents optimize configurations continuously, adapt to workload.</t>
  </si>
  <si>
    <t>Config mgmt &amp; drift detection tools</t>
  </si>
  <si>
    <t>Chef InSpec, AWS Config, Azure Policy, Puppet</t>
  </si>
  <si>
    <t>OM.06</t>
  </si>
  <si>
    <t>Vulnerability Disclosure &amp; Bug Bounty</t>
  </si>
  <si>
    <t>Receive and reward external vulnerability reports.</t>
  </si>
  <si>
    <t>No disclosure channels; ad-hoc emails.</t>
  </si>
  <si>
    <t>Public email with manual triage, rewards rare.</t>
  </si>
  <si>
    <t>Managed platform orchestrates intake and response.</t>
  </si>
  <si>
    <t>AI prioritizes reports, auto-assigns fixes.</t>
  </si>
  <si>
    <t>Agents engage researchers, validate, patch within hours.</t>
  </si>
  <si>
    <t>Launch Responsible Disclosure &amp; Bug Bounty Program</t>
  </si>
  <si>
    <t>VDP platforms, bounty coordination</t>
  </si>
  <si>
    <t>HackerOne, Bugcrowd, OpenBugBounty, Intigriti</t>
  </si>
  <si>
    <t>OM.07</t>
  </si>
  <si>
    <t>Agentic AI Oversight &amp; Control</t>
  </si>
  <si>
    <t>Govern autonomous AI agent actions and ethics.</t>
  </si>
  <si>
    <t>AI agents uncontrolled; manual audits sporadic.</t>
  </si>
  <si>
    <t>Checklists review agent actions periodically.</t>
  </si>
  <si>
    <t>Workflow logs agent decisions with risk gate approvals.</t>
  </si>
  <si>
    <t>AI monitors agents, escalates anomalous behavior.</t>
  </si>
  <si>
    <t>Autonomous governance aligns agents with ethics continuously.</t>
  </si>
  <si>
    <t>Develop AI Risk Governance Framework</t>
  </si>
  <si>
    <t>AI governance, policy enforcement platforms</t>
  </si>
  <si>
    <t>Protect AI, Robust Intelligence, OpenAI Moderation API, NVIDIA Morpheus</t>
  </si>
  <si>
    <t>Initiative List</t>
  </si>
  <si>
    <t xml:space="preserve">Use this tab to define initiatives based on the gap closure actions identified in Tab 4, as follows:
1. When you first identify a gap closure action as being an initiative, enter the initiative name in the table below.
2. Use the drop-down list in column N of Tab 4 to select the initiative. Do this for all gap closure actions that you wish to associate with this initiative.
3. Enter a description of the initiative below or alternatively provide a list of all of the gap closure actions. 
          - You can easily obtain a list of all gap closure actions associated with an initiative by filtering column N on Tab 4.
</t>
  </si>
  <si>
    <t>#</t>
  </si>
  <si>
    <t>Initiative Name</t>
  </si>
  <si>
    <t>Description/List of Supporting Actions (Optional)</t>
  </si>
  <si>
    <t>Deploy Threat Modeling Automation Tools (e.g. ThreatSpec, IriusRisk)</t>
  </si>
  <si>
    <t>Integrate SAST Tools Into CI Pipeline</t>
  </si>
  <si>
    <t>Enhance CI/CD Pipelines With Secrets Scanning &amp; Signing Tools</t>
  </si>
  <si>
    <t>Phase</t>
  </si>
  <si>
    <t>iSSDLC Capability</t>
  </si>
  <si>
    <t>Maintenance &amp; Operations</t>
  </si>
  <si>
    <t>Initiative Prioritization</t>
  </si>
  <si>
    <t>Refer to the instructions to the right to complete a cost-benefit analysis for each initiative. Use the cost-benefit analysis to assign a roadmap wave, and optionally a sub-wave, to help plan your road.</t>
  </si>
  <si>
    <t>For each of the initiatives listed, complete the cost and benefit estimations using the drop-down lists provided. You may optionally add more detailed estimates, if known, in columns P-S.
The Alignment With Business benefit will be automatically populated, but you can override the formula by manually selecting from the drop-down list. 
Optionally add dependency and business impact information if they will be helpful for prioritization.</t>
  </si>
  <si>
    <t>Wave 0 = In-flight
Wave 1 = Must do
Wave 2 = Should do
Wave 3 = Could do
Wave 4 = Won't do</t>
  </si>
  <si>
    <t>Estimated Cost</t>
  </si>
  <si>
    <t>Estimated Effort</t>
  </si>
  <si>
    <t>Estimated Benefits</t>
  </si>
  <si>
    <t>Additional Considerations (Optional)</t>
  </si>
  <si>
    <t>Detailed Cost Estimates (Optional)</t>
  </si>
  <si>
    <t>Detailed Staffing Estimates (Optional)</t>
  </si>
  <si>
    <t>Ongoing Cost</t>
  </si>
  <si>
    <t>Initial Staffing</t>
  </si>
  <si>
    <t>Ongoing Staffing</t>
  </si>
  <si>
    <t>Cost/Effort Rating</t>
  </si>
  <si>
    <t>Business Opportunity Alignment</t>
  </si>
  <si>
    <t>Security Threat Mitigation</t>
  </si>
  <si>
    <t>Benefit
Rating</t>
  </si>
  <si>
    <t>Dependencies</t>
  </si>
  <si>
    <t>Business Impacts</t>
  </si>
  <si>
    <t>Roadmap Wave</t>
  </si>
  <si>
    <t>Roadmap Sub-Wave (Optional)</t>
  </si>
  <si>
    <t>Initial Staffing (Hours)</t>
  </si>
  <si>
    <t>Ongoing Staffing (FTEs)</t>
  </si>
  <si>
    <t>Zero</t>
  </si>
  <si>
    <t>iSSDLC Implementation Gantt Chart</t>
  </si>
  <si>
    <t>Use this Gantt chart to create a roadmap for your application security strategy by assigning ownership, start dates, expected hours and durations for each of the initiatives below.</t>
  </si>
  <si>
    <t>Planned Start</t>
  </si>
  <si>
    <t>Wave</t>
  </si>
  <si>
    <t>Owner</t>
  </si>
  <si>
    <t>Expected Hours</t>
  </si>
  <si>
    <t>Month</t>
  </si>
  <si>
    <t>Year</t>
  </si>
  <si>
    <t>Expected Duration (Months)</t>
  </si>
  <si>
    <t>Jan</t>
  </si>
  <si>
    <t>Feb</t>
  </si>
  <si>
    <t>Mar</t>
  </si>
  <si>
    <t>Apr</t>
  </si>
  <si>
    <t>May</t>
  </si>
  <si>
    <t>Jun</t>
  </si>
  <si>
    <t>Jul</t>
  </si>
  <si>
    <t>Aug</t>
  </si>
  <si>
    <t>Sep</t>
  </si>
  <si>
    <t>Oct</t>
  </si>
  <si>
    <t>Nov</t>
  </si>
  <si>
    <t>Dec</t>
  </si>
  <si>
    <t>Paul</t>
  </si>
  <si>
    <t>John</t>
  </si>
  <si>
    <t>George</t>
  </si>
  <si>
    <t>Janis</t>
  </si>
  <si>
    <t>Ringo</t>
  </si>
  <si>
    <t>Stevie</t>
  </si>
  <si>
    <t>Results and Charts</t>
  </si>
  <si>
    <t>This tab provides charts, tables, and other illustrations based on your security strategy and roadmap. You may copy these elements into your iSSDLC Strategy Deck.</t>
  </si>
  <si>
    <t>iSSDLC Roadmap Cost and Effort Estimates</t>
  </si>
  <si>
    <t>Initial Implementation</t>
  </si>
  <si>
    <t>Ongoing Maintenance</t>
  </si>
  <si>
    <t>Number of Initiatives</t>
  </si>
  <si>
    <t>Cost</t>
  </si>
  <si>
    <t>Effort (FTE)</t>
  </si>
  <si>
    <t>Estimated Total  Investment</t>
  </si>
  <si>
    <t>Total Number of Initiatives</t>
  </si>
  <si>
    <t>Total Initial Cost</t>
  </si>
  <si>
    <t>iSSDLC Current and Target State Automation Maturity</t>
  </si>
  <si>
    <t>Dashboards</t>
  </si>
  <si>
    <t>Overall Gap Analysis</t>
  </si>
  <si>
    <t>Application Security Capabilities (Current State vs. Target State)</t>
  </si>
  <si>
    <t>Prioritized Capabilities</t>
  </si>
  <si>
    <t>Top 10 Prioritized Capabilities</t>
  </si>
  <si>
    <t>Priority</t>
  </si>
  <si>
    <t>Business Opportunities Supported</t>
  </si>
  <si>
    <t>Security Threats Mitigated</t>
  </si>
  <si>
    <t>Maturity Gap</t>
  </si>
  <si>
    <t>List of Initiatives</t>
  </si>
  <si>
    <t>Business Opportunities</t>
  </si>
  <si>
    <t>Lists and Calculations (Hidden)</t>
  </si>
  <si>
    <t>Rating</t>
  </si>
  <si>
    <t>Capability is ad-hoc and entirely human-driven. Little or no tooling; success depends on individual effort and local knowledge.</t>
  </si>
  <si>
    <t>Analytics and AI adapt controls continuously, remediate most routine issues without waiting for people, and escalate only edge cases – security processes run largely hands-free.</t>
  </si>
  <si>
    <t>AI agents operate, learn, and optimize security end-to-end with minimal human input. Humans set strategy and ethics; the system self-improves controls, updates policy artefacts, and proves compliance on its own.</t>
  </si>
  <si>
    <t>Capability not in place.</t>
  </si>
  <si>
    <t>Monetize data and services through premium APIs.</t>
  </si>
  <si>
    <t>Safely enable new revenue streams for your data and services by providing secure application programming interfaces (API) capabilities for your customers.</t>
  </si>
  <si>
    <t>Faster time to value for new products.</t>
  </si>
  <si>
    <t>Bring new products and services to market faster by collapsing lengthy security checkpoints.</t>
  </si>
  <si>
    <t>Reduce compliance costs and enter new regulated markets faster.</t>
  </si>
  <si>
    <t>Cut audit preparation effort, turning compliance from a go/no‑go barrier into a predictable, budgeted line item when entering new regulated markets.</t>
  </si>
  <si>
    <t>Reduce cyber‑insurance premiums and borrowing costs.</t>
  </si>
  <si>
    <t>Verified controls translate directly into lower insurance rates and better debt covenants.</t>
  </si>
  <si>
    <t>Accelerate AI &amp; advanced analytics initiatives.</t>
  </si>
  <si>
    <t>Ensure models and applications do not leak PII, allowing unrestricted exploitation of high‑value datasets.</t>
  </si>
  <si>
    <t>Complete technology M&amp;A integrations faster.</t>
  </si>
  <si>
    <t>Provide instant visibility into inherited risk, avoiding lengthy manual code reviews that stall deal synergies.</t>
  </si>
  <si>
    <t>Increase uptime for digital revenue channels.</t>
  </si>
  <si>
    <t>Maintain customer transactions during security incidents, protecting revenue and brand in real time.</t>
  </si>
  <si>
    <t>Scale partner ecosystems without expanding the attack surface.</t>
  </si>
  <si>
    <t>Add partners rapidly while keeping every integration compartmentalized and auditable.</t>
  </si>
  <si>
    <t>Strengthen brand loyalty and customer trust.</t>
  </si>
  <si>
    <t>Build digital trust by safeguarding customer journeys that shape digital experience and perception.</t>
  </si>
  <si>
    <t>Software supply‑chain compromise.</t>
  </si>
  <si>
    <t>Reduce risk of business impacts due to compromised software supply chains.</t>
  </si>
  <si>
    <t>Mass credential‑stuffing and account takeover.</t>
  </si>
  <si>
    <t>Protect the company’s revenue channels and brand trust by preventing fraudulent transactions.</t>
  </si>
  <si>
    <t>Business‑logic abuse through exposed APIs.</t>
  </si>
  <si>
    <t>Turn APIs from a liability into a controlled asset, preserving digital revenues and preventing competitor access to your data.</t>
  </si>
  <si>
    <t>Ransomware beachhead via vulnerable web apps.</t>
  </si>
  <si>
    <t>Shrink attacks window from weeks to hours, denying cyber criminals the foothold they need to disrupt revenue‑producing systems.</t>
  </si>
  <si>
    <t>Prolonged service outage due to zero-day attacks.</t>
  </si>
  <si>
    <t>Keep critical digital services online even when patching is impossible, preserving daily revenue and market confidence.</t>
  </si>
  <si>
    <t>Sensitive‑data leakage in AI‑enabled apps.</t>
  </si>
  <si>
    <t>Enable aggressive AI adoption without triggering privacy fines or IP loss, safeguarding future growth bets.</t>
  </si>
  <si>
    <t>Insider misuse or privileged‑user abuse of critical functions.</t>
  </si>
  <si>
    <t>Turn insider risk into a detectable, auditable event, limiting impact and demonstrating diligence to shareholders.</t>
  </si>
  <si>
    <t>Quantum computing renders legacy encryption obsolete.</t>
  </si>
  <si>
    <t>Safeguard crown jewel data when current generation encryption fails under attack by quantum computers.</t>
  </si>
  <si>
    <t>Nation-state attack on critical infrastructure via sleeper accounts.</t>
  </si>
  <si>
    <t>Protect critical infrastructure from advanced persistent threats using long-term account compromise.</t>
  </si>
  <si>
    <t>Mean Time to Remediate (MTTR) Critical Vulnerabilities.</t>
  </si>
  <si>
    <t>Average number of days from detection to remediation for CVEs rated critical or high (track via SAST/DAST/SCA tools + ticketing system).</t>
  </si>
  <si>
    <t>Percentage of Third-Party Components Without Known Vulnerabilities.</t>
  </si>
  <si>
    <t>Count of external libraries/packages scanned by SCA tools with 0 known CVEs; total components used.</t>
  </si>
  <si>
    <t>Credential Stuffing Detection Rate.</t>
  </si>
  <si>
    <t>Number of credential stuffing attempts detected per month, tracked via WAF logs, SIEM, or identity provider analytics.</t>
  </si>
  <si>
    <t>Security Coverage in CI/CD Pipeline.</t>
  </si>
  <si>
    <t>% of CI/CD jobs that include SAST, DAST, SCA, secrets scanning, or IaC scanning.</t>
  </si>
  <si>
    <t>Time to Patch Zero-Day Vulnerabilities.</t>
  </si>
  <si>
    <t>Measure time from vendor disclosure of zero-day to patch deployment in production.</t>
  </si>
  <si>
    <t>Percentage of APIs With Business Logic Testing.</t>
  </si>
  <si>
    <t>Number of APIs with completed business logic abuse tests; total APIs in production.</t>
  </si>
  <si>
    <t>Data Exposure Events From AI Workloads.</t>
  </si>
  <si>
    <t>Count of security events involving PII or sensitive data leaks from AI features, tracked via DLP tools or incident logs.</t>
  </si>
  <si>
    <t>Quantum-Resilience Readiness.</t>
  </si>
  <si>
    <t>Percent of crypto assets inventoried and evaluated for post-quantum readiness.</t>
  </si>
  <si>
    <t>Insider Threat Detections.</t>
  </si>
  <si>
    <t>Number of suspicious privileged actions or misuse attempts logged and investigated.</t>
  </si>
  <si>
    <t>Average Time to Enable Secure Partner Integrations.</t>
  </si>
  <si>
    <t>Days from partner onboarding request to secure API/key deployment and access enablement.</t>
  </si>
  <si>
    <t>Percent of Business Applications With Risk-Based Classification.</t>
  </si>
  <si>
    <t>Business apps tagged by sensitivity and risk level; total app inventory.</t>
  </si>
  <si>
    <t>Percent of Open, Premium APIs With Security Controls.</t>
  </si>
  <si>
    <t>APIs exposed for partner/customer access that implement authN/Z, rate limiting, logging, threat detection.</t>
  </si>
  <si>
    <t>Secure AI/ML Development Lifecycle Coverage.</t>
  </si>
  <si>
    <t>Percent of AI/ML projects that completed threat modeling, data protection review, and adversarial testing.</t>
  </si>
  <si>
    <t>Incident Response Drill Frequency &amp; Readiness Score</t>
  </si>
  <si>
    <t>Number of tabletop or red team exercises run annually; scoring based on containment, comms, and recovery effectiveness.</t>
  </si>
  <si>
    <t>Application Uptime With Security Events</t>
  </si>
  <si>
    <t>Percent of time core revenue-generating applications maintained availability despite security alerts/incidents.</t>
  </si>
  <si>
    <t>Capabilities</t>
  </si>
  <si>
    <t>Capability ID</t>
  </si>
  <si>
    <t>Current State Score</t>
  </si>
  <si>
    <t>Target State Score</t>
  </si>
  <si>
    <t>Gap</t>
  </si>
  <si>
    <t>Business Opportunity Score</t>
  </si>
  <si>
    <t>Total Score</t>
  </si>
  <si>
    <t>Priority Ranking</t>
  </si>
  <si>
    <t>Score + Gap</t>
  </si>
  <si>
    <t>Ranking</t>
  </si>
  <si>
    <t>Capabilities Prioritization Score</t>
  </si>
  <si>
    <t>Security Threats Score</t>
  </si>
  <si>
    <t>Business Opportunity  + Security Threats Score</t>
  </si>
  <si>
    <t>Gap + Score</t>
  </si>
  <si>
    <t>Business Opportunity Priority Ranking</t>
  </si>
  <si>
    <t>Average Score</t>
  </si>
  <si>
    <t>This table calculates the overall assessment ratings and gaps for each Phase.</t>
  </si>
  <si>
    <t>Code</t>
  </si>
  <si>
    <t>Number of Capabilities</t>
  </si>
  <si>
    <t>L1</t>
  </si>
  <si>
    <t>L2</t>
  </si>
  <si>
    <t>L3</t>
  </si>
  <si>
    <t>L4</t>
  </si>
  <si>
    <t>L5</t>
  </si>
  <si>
    <t>Mean</t>
  </si>
  <si>
    <t>Business Opportunity (Average)</t>
  </si>
  <si>
    <t>Number of High Priority</t>
  </si>
  <si>
    <t>Number of Medium Priority</t>
  </si>
  <si>
    <t>Number of Low Priority</t>
  </si>
  <si>
    <t>AD</t>
  </si>
  <si>
    <t>BU</t>
  </si>
  <si>
    <t>TE</t>
  </si>
  <si>
    <t>DE</t>
  </si>
  <si>
    <t>OM</t>
  </si>
  <si>
    <t>Total</t>
  </si>
  <si>
    <t>Staffing</t>
  </si>
  <si>
    <t>Waves</t>
  </si>
  <si>
    <t>Total Score =</t>
  </si>
  <si>
    <t xml:space="preserve"> Average of Business Opp + Security Threat + Current State/Target State Gap</t>
  </si>
  <si>
    <t>The higher the number, the more priority is given</t>
  </si>
  <si>
    <t>Month Name</t>
  </si>
  <si>
    <t>Month Number</t>
  </si>
  <si>
    <t>Years</t>
  </si>
  <si>
    <t>Number</t>
  </si>
  <si>
    <t>Qualitative Score</t>
  </si>
  <si>
    <t>Score</t>
  </si>
  <si>
    <t>Threat Alignment</t>
  </si>
  <si>
    <t>Initial Costs</t>
  </si>
  <si>
    <t>Quantitative Score</t>
  </si>
  <si>
    <t>Ongoing Costs</t>
  </si>
  <si>
    <t>Sum of Business Opportunity Scores</t>
  </si>
  <si>
    <t>Sum of Security Threat Scores</t>
  </si>
  <si>
    <t>Oppo Score</t>
  </si>
  <si>
    <t>Threat Score</t>
  </si>
  <si>
    <t>Row Labels</t>
  </si>
  <si>
    <t>Sum of Gap + Score</t>
  </si>
  <si>
    <t>Security Capability Mappings (Hidden)</t>
  </si>
  <si>
    <t>These tables provide a mappings of the security capabilities to the business opportunities and threats. These mappings indicate the capabilities that are most effective at enabling opportunities or mitigating threats. They should not be taken to mean that certain capabilities do not or cannot support the specified opportunities or threats.</t>
  </si>
  <si>
    <t>Security Capability</t>
  </si>
  <si>
    <t>X</t>
  </si>
  <si>
    <t>Security Capability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</si>
</sst>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quot;$&quot;* #,##0.00_-;\-&quot;$&quot;* #,##0.00_-;_-&quot;$&quot;* &quot;-&quot;??_-;_-@_-"/>
    <numFmt numFmtId="165" formatCode="0.0"/>
    <numFmt numFmtId="166" formatCode="&quot;$&quot;#,##0.00"/>
    <numFmt numFmtId="167" formatCode="_-[$$-409]* #,##0.00_ ;_-[$$-409]* \-#,##0.00\ ;_-[$$-409]* &quot;-&quot;??_ ;_-@_ "/>
  </numFmts>
  <fonts count="44" x14ac:knownFonts="1">
    <font>
      <sz val="11"/>
      <color theme="1"/>
      <name val="Arial"/>
      <family val="2"/>
      <scheme val="minor"/>
    </font>
    <font>
      <b/>
      <sz val="11"/>
      <color theme="0"/>
      <name val="Arial"/>
      <family val="2"/>
      <scheme val="minor"/>
    </font>
    <font>
      <b/>
      <sz val="11"/>
      <color theme="1"/>
      <name val="Arial"/>
      <family val="2"/>
      <scheme val="minor"/>
    </font>
    <font>
      <sz val="10"/>
      <name val="Arial"/>
      <family val="2"/>
    </font>
    <font>
      <b/>
      <sz val="18"/>
      <name val="Arial"/>
      <family val="2"/>
    </font>
    <font>
      <i/>
      <sz val="10"/>
      <name val="Arial"/>
      <family val="2"/>
    </font>
    <font>
      <b/>
      <sz val="18"/>
      <color theme="0"/>
      <name val="Arial"/>
      <family val="2"/>
    </font>
    <font>
      <b/>
      <sz val="12"/>
      <color theme="1"/>
      <name val="Arial"/>
      <family val="2"/>
      <scheme val="minor"/>
    </font>
    <font>
      <sz val="9"/>
      <name val="Arial"/>
      <family val="2"/>
    </font>
    <font>
      <b/>
      <sz val="14"/>
      <color rgb="FFFFFFFF"/>
      <name val="Arial"/>
      <family val="2"/>
    </font>
    <font>
      <b/>
      <sz val="11"/>
      <color rgb="FFFFFFFF"/>
      <name val="Arial"/>
      <family val="2"/>
    </font>
    <font>
      <b/>
      <sz val="12"/>
      <color rgb="FFFFFFFF"/>
      <name val="Arial"/>
      <family val="2"/>
    </font>
    <font>
      <sz val="14"/>
      <name val="Arial"/>
      <family val="2"/>
    </font>
    <font>
      <sz val="12"/>
      <color theme="1"/>
      <name val="Arial"/>
      <family val="2"/>
      <scheme val="minor"/>
    </font>
    <font>
      <b/>
      <sz val="12"/>
      <name val="Arial"/>
      <family val="2"/>
    </font>
    <font>
      <sz val="11"/>
      <color theme="1"/>
      <name val="Arial"/>
      <family val="2"/>
      <scheme val="minor"/>
    </font>
    <font>
      <sz val="10"/>
      <name val="Arial"/>
      <family val="2"/>
    </font>
    <font>
      <b/>
      <sz val="10"/>
      <name val="Arial"/>
      <family val="2"/>
    </font>
    <font>
      <b/>
      <sz val="10"/>
      <color rgb="FFFFFFFF"/>
      <name val="Arial"/>
      <family val="2"/>
    </font>
    <font>
      <b/>
      <sz val="14"/>
      <name val="Arial"/>
      <family val="2"/>
    </font>
    <font>
      <sz val="12"/>
      <name val="Arial"/>
      <family val="2"/>
    </font>
    <font>
      <sz val="11"/>
      <name val="Arial"/>
      <family val="2"/>
    </font>
    <font>
      <b/>
      <sz val="18"/>
      <color rgb="FFFFFFFF"/>
      <name val="Arial"/>
      <family val="2"/>
    </font>
    <font>
      <sz val="11"/>
      <color theme="1"/>
      <name val="Calibri"/>
      <family val="2"/>
    </font>
    <font>
      <sz val="8"/>
      <color rgb="FFBFBFBF"/>
      <name val="Arial"/>
      <family val="2"/>
    </font>
    <font>
      <sz val="10"/>
      <color rgb="FFFFFFFF"/>
      <name val="Arial"/>
      <family val="2"/>
    </font>
    <font>
      <sz val="12"/>
      <color rgb="FF242424"/>
      <name val="Arial"/>
      <family val="2"/>
      <scheme val="major"/>
    </font>
    <font>
      <sz val="16"/>
      <color theme="0"/>
      <name val="Arial"/>
      <family val="2"/>
    </font>
    <font>
      <sz val="10"/>
      <color rgb="FF333333"/>
      <name val="Arial"/>
      <family val="2"/>
    </font>
    <font>
      <sz val="14"/>
      <color rgb="FF333333"/>
      <name val="Arial"/>
      <family val="2"/>
    </font>
    <font>
      <sz val="11"/>
      <color rgb="FF333333"/>
      <name val="Arial"/>
      <family val="2"/>
    </font>
    <font>
      <b/>
      <sz val="10"/>
      <color rgb="FF333333"/>
      <name val="Arial"/>
      <family val="2"/>
    </font>
    <font>
      <b/>
      <sz val="12"/>
      <name val="Arial"/>
      <family val="2"/>
    </font>
    <font>
      <sz val="12"/>
      <name val="Arial"/>
      <family val="2"/>
    </font>
    <font>
      <b/>
      <sz val="14"/>
      <color rgb="FFFFFFFF"/>
      <name val="Arial"/>
      <family val="2"/>
    </font>
    <font>
      <b/>
      <sz val="12"/>
      <color theme="3" tint="0.249977111117893"/>
      <name val="Arial"/>
      <family val="2"/>
    </font>
    <font>
      <b/>
      <sz val="12"/>
      <color theme="0"/>
      <name val="Arial"/>
      <family val="2"/>
    </font>
    <font>
      <sz val="10"/>
      <color theme="3" tint="0.249977111117893"/>
      <name val="Arial"/>
      <family val="2"/>
    </font>
    <font>
      <sz val="10"/>
      <color theme="0"/>
      <name val="Arial"/>
      <family val="2"/>
    </font>
    <font>
      <sz val="12"/>
      <color theme="0"/>
      <name val="Arial"/>
      <family val="2"/>
    </font>
    <font>
      <sz val="11"/>
      <name val="Arial"/>
      <family val="2"/>
      <scheme val="minor"/>
    </font>
    <font>
      <sz val="12"/>
      <name val="Arial"/>
      <family val="2"/>
      <scheme val="major"/>
    </font>
    <font>
      <sz val="11"/>
      <color theme="0"/>
      <name val="Arial"/>
      <family val="2"/>
      <scheme val="minor"/>
    </font>
    <font>
      <sz val="11"/>
      <color theme="1"/>
      <name val="Aptos Narrow"/>
      <family val="2"/>
    </font>
  </fonts>
  <fills count="36">
    <fill>
      <patternFill patternType="none"/>
    </fill>
    <fill>
      <patternFill patternType="gray125"/>
    </fill>
    <fill>
      <patternFill patternType="solid">
        <fgColor theme="3"/>
        <bgColor indexed="64"/>
      </patternFill>
    </fill>
    <fill>
      <patternFill patternType="solid">
        <fgColor rgb="FF29475F"/>
        <bgColor rgb="FF000000"/>
      </patternFill>
    </fill>
    <fill>
      <patternFill patternType="solid">
        <fgColor rgb="FFBFD3E3"/>
        <bgColor rgb="FFBFD3E3"/>
      </patternFill>
    </fill>
    <fill>
      <patternFill patternType="solid">
        <fgColor rgb="FFDEE9F1"/>
        <bgColor rgb="FFDEE9F1"/>
      </patternFill>
    </fill>
    <fill>
      <patternFill patternType="solid">
        <fgColor theme="0" tint="-4.9989318521683403E-2"/>
        <bgColor indexed="64"/>
      </patternFill>
    </fill>
    <fill>
      <patternFill patternType="solid">
        <fgColor rgb="FF6293BB"/>
        <bgColor rgb="FF000000"/>
      </patternFill>
    </fill>
    <fill>
      <patternFill patternType="solid">
        <fgColor theme="4"/>
        <bgColor indexed="64"/>
      </patternFill>
    </fill>
    <fill>
      <patternFill patternType="solid">
        <fgColor rgb="FFCADAE8"/>
        <bgColor rgb="FFCADAE8"/>
      </patternFill>
    </fill>
    <fill>
      <patternFill patternType="solid">
        <fgColor theme="0" tint="-0.14999847407452621"/>
        <bgColor theme="0" tint="-0.14999847407452621"/>
      </patternFill>
    </fill>
    <fill>
      <patternFill patternType="solid">
        <fgColor theme="4"/>
        <bgColor theme="4"/>
      </patternFill>
    </fill>
    <fill>
      <patternFill patternType="solid">
        <fgColor rgb="FFF2F2F2"/>
        <bgColor rgb="FF000000"/>
      </patternFill>
    </fill>
    <fill>
      <patternFill patternType="solid">
        <fgColor rgb="FFCADAE8"/>
        <bgColor rgb="FF000000"/>
      </patternFill>
    </fill>
    <fill>
      <patternFill patternType="solid">
        <fgColor rgb="FFEEEEEE"/>
        <bgColor indexed="64"/>
      </patternFill>
    </fill>
    <fill>
      <patternFill patternType="solid">
        <fgColor rgb="FF6293BB"/>
        <bgColor rgb="FF6293BB"/>
      </patternFill>
    </fill>
    <fill>
      <patternFill patternType="solid">
        <fgColor rgb="FFD9D9D9"/>
        <bgColor rgb="FFD9D9D9"/>
      </patternFill>
    </fill>
    <fill>
      <patternFill patternType="solid">
        <fgColor theme="0"/>
        <bgColor rgb="FFBFD3E3"/>
      </patternFill>
    </fill>
    <fill>
      <patternFill patternType="solid">
        <fgColor theme="0"/>
        <bgColor rgb="FFDEE9F1"/>
      </patternFill>
    </fill>
    <fill>
      <patternFill patternType="solid">
        <fgColor theme="3" tint="0.499984740745262"/>
        <bgColor indexed="64"/>
      </patternFill>
    </fill>
    <fill>
      <patternFill patternType="solid">
        <fgColor rgb="FFCED990"/>
        <bgColor rgb="FF000000"/>
      </patternFill>
    </fill>
    <fill>
      <patternFill patternType="solid">
        <fgColor theme="7"/>
        <bgColor indexed="64"/>
      </patternFill>
    </fill>
    <fill>
      <patternFill patternType="solid">
        <fgColor theme="0"/>
        <bgColor indexed="64"/>
      </patternFill>
    </fill>
    <fill>
      <patternFill patternType="solid">
        <fgColor rgb="FFCADAE8"/>
        <bgColor indexed="64"/>
      </patternFill>
    </fill>
    <fill>
      <patternFill patternType="solid">
        <fgColor rgb="FF6293BB"/>
        <bgColor indexed="64"/>
      </patternFill>
    </fill>
    <fill>
      <patternFill patternType="solid">
        <fgColor rgb="FF29475F"/>
        <bgColor indexed="64"/>
      </patternFill>
    </fill>
    <fill>
      <patternFill patternType="solid">
        <fgColor theme="5"/>
        <bgColor theme="5"/>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CCFFCC"/>
        <bgColor indexed="64"/>
      </patternFill>
    </fill>
    <fill>
      <patternFill patternType="solid">
        <fgColor rgb="FF66FF99"/>
        <bgColor indexed="64"/>
      </patternFill>
    </fill>
    <fill>
      <patternFill patternType="solid">
        <fgColor rgb="FF00CC66"/>
        <bgColor indexed="64"/>
      </patternFill>
    </fill>
    <fill>
      <patternFill patternType="solid">
        <fgColor theme="0" tint="-0.14999847407452621"/>
        <bgColor indexed="64"/>
      </patternFill>
    </fill>
    <fill>
      <patternFill patternType="solid">
        <fgColor theme="9" tint="-4.9989318521683403E-2"/>
        <bgColor indexed="64"/>
      </patternFill>
    </fill>
  </fills>
  <borders count="214">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style="thin">
        <color auto="1"/>
      </right>
      <top/>
      <bottom style="thin">
        <color auto="1"/>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FFFFFF"/>
      </left>
      <right/>
      <top/>
      <bottom/>
      <diagonal/>
    </border>
    <border>
      <left style="medium">
        <color indexed="64"/>
      </left>
      <right/>
      <top style="medium">
        <color indexed="64"/>
      </top>
      <bottom/>
      <diagonal/>
    </border>
    <border>
      <left style="medium">
        <color indexed="64"/>
      </left>
      <right style="dashed">
        <color rgb="FFFFFFFF"/>
      </right>
      <top style="thin">
        <color indexed="64"/>
      </top>
      <bottom style="medium">
        <color indexed="64"/>
      </bottom>
      <diagonal/>
    </border>
    <border>
      <left style="dashed">
        <color rgb="FFFFFFFF"/>
      </left>
      <right style="dashed">
        <color rgb="FFFFFFFF"/>
      </right>
      <top style="thin">
        <color indexed="64"/>
      </top>
      <bottom style="medium">
        <color indexed="64"/>
      </bottom>
      <diagonal/>
    </border>
    <border>
      <left style="dashed">
        <color rgb="FFFFFFFF"/>
      </left>
      <right style="medium">
        <color indexed="64"/>
      </right>
      <top style="thin">
        <color indexed="64"/>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rgb="FFFFFFFF"/>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top/>
      <bottom style="thin">
        <color auto="1"/>
      </bottom>
      <diagonal/>
    </border>
    <border>
      <left/>
      <right/>
      <top style="thin">
        <color indexed="64"/>
      </top>
      <bottom style="medium">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bottom style="thick">
        <color rgb="FFFFFFFF"/>
      </bottom>
      <diagonal/>
    </border>
    <border>
      <left style="thin">
        <color rgb="FFFFFFFF"/>
      </left>
      <right/>
      <top style="thick">
        <color rgb="FFFFFFFF"/>
      </top>
      <bottom/>
      <diagonal/>
    </border>
    <border>
      <left style="thin">
        <color rgb="FFFFFFFF"/>
      </left>
      <right/>
      <top style="thin">
        <color rgb="FFFFFFFF"/>
      </top>
      <bottom/>
      <diagonal/>
    </border>
    <border>
      <left style="medium">
        <color auto="1"/>
      </left>
      <right style="thin">
        <color rgb="FF6293BB"/>
      </right>
      <top style="medium">
        <color indexed="64"/>
      </top>
      <bottom/>
      <diagonal/>
    </border>
    <border>
      <left style="thin">
        <color rgb="FF6293BB"/>
      </left>
      <right style="thin">
        <color rgb="FF6293BB"/>
      </right>
      <top style="thin">
        <color rgb="FF6293BB"/>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right/>
      <top style="medium">
        <color theme="1"/>
      </top>
      <bottom style="medium">
        <color theme="1"/>
      </bottom>
      <diagonal/>
    </border>
    <border>
      <left/>
      <right/>
      <top/>
      <bottom style="medium">
        <color theme="1"/>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medium">
        <color auto="1"/>
      </left>
      <right style="thin">
        <color auto="1"/>
      </right>
      <top style="medium">
        <color auto="1"/>
      </top>
      <bottom style="thin">
        <color auto="1"/>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medium">
        <color indexed="64"/>
      </left>
      <right/>
      <top style="medium">
        <color indexed="64"/>
      </top>
      <bottom style="medium">
        <color indexed="64"/>
      </bottom>
      <diagonal/>
    </border>
    <border>
      <left/>
      <right style="thin">
        <color rgb="FFFFFFFF"/>
      </right>
      <top style="thin">
        <color rgb="FF0070C0"/>
      </top>
      <bottom style="thin">
        <color rgb="FF0070C0"/>
      </bottom>
      <diagonal/>
    </border>
    <border>
      <left style="thin">
        <color rgb="FFFFFFFF"/>
      </left>
      <right/>
      <top style="thin">
        <color rgb="FF0070C0"/>
      </top>
      <bottom style="thin">
        <color rgb="FF0070C0"/>
      </bottom>
      <diagonal/>
    </border>
    <border>
      <left style="thin">
        <color rgb="FF848484"/>
      </left>
      <right style="thin">
        <color rgb="FF848484"/>
      </right>
      <top style="thin">
        <color rgb="FF848484"/>
      </top>
      <bottom style="thin">
        <color rgb="FF848484"/>
      </bottom>
      <diagonal/>
    </border>
    <border>
      <left style="thin">
        <color rgb="FF848484"/>
      </left>
      <right style="thin">
        <color rgb="FF848484"/>
      </right>
      <top/>
      <bottom style="thin">
        <color rgb="FF848484"/>
      </bottom>
      <diagonal/>
    </border>
    <border>
      <left/>
      <right/>
      <top/>
      <bottom style="thin">
        <color rgb="FFFFFFFF"/>
      </bottom>
      <diagonal/>
    </border>
    <border>
      <left/>
      <right/>
      <top style="thin">
        <color rgb="FFFFFFFF"/>
      </top>
      <bottom style="thin">
        <color rgb="FFFFFFFF"/>
      </bottom>
      <diagonal/>
    </border>
    <border>
      <left/>
      <right/>
      <top style="thin">
        <color rgb="FFFFFFFF"/>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auto="1"/>
      </left>
      <right style="thin">
        <color rgb="FF848484"/>
      </right>
      <top style="medium">
        <color auto="1"/>
      </top>
      <bottom style="thin">
        <color auto="1"/>
      </bottom>
      <diagonal/>
    </border>
    <border>
      <left style="thin">
        <color rgb="FF848484"/>
      </left>
      <right style="thin">
        <color rgb="FF848484"/>
      </right>
      <top style="medium">
        <color indexed="64"/>
      </top>
      <bottom style="thin">
        <color rgb="FF848484"/>
      </bottom>
      <diagonal/>
    </border>
    <border>
      <left style="thin">
        <color rgb="FF848484"/>
      </left>
      <right style="medium">
        <color indexed="64"/>
      </right>
      <top style="medium">
        <color indexed="64"/>
      </top>
      <bottom style="thin">
        <color rgb="FF848484"/>
      </bottom>
      <diagonal/>
    </border>
    <border>
      <left style="medium">
        <color auto="1"/>
      </left>
      <right style="thin">
        <color rgb="FF848484"/>
      </right>
      <top style="thin">
        <color auto="1"/>
      </top>
      <bottom style="thin">
        <color auto="1"/>
      </bottom>
      <diagonal/>
    </border>
    <border>
      <left style="thin">
        <color rgb="FF848484"/>
      </left>
      <right style="medium">
        <color indexed="64"/>
      </right>
      <top style="thin">
        <color rgb="FF848484"/>
      </top>
      <bottom style="thin">
        <color rgb="FF848484"/>
      </bottom>
      <diagonal/>
    </border>
    <border>
      <left style="medium">
        <color auto="1"/>
      </left>
      <right style="thin">
        <color rgb="FF848484"/>
      </right>
      <top style="thin">
        <color auto="1"/>
      </top>
      <bottom style="medium">
        <color indexed="64"/>
      </bottom>
      <diagonal/>
    </border>
    <border>
      <left style="thin">
        <color rgb="FF848484"/>
      </left>
      <right style="thin">
        <color rgb="FF848484"/>
      </right>
      <top style="thin">
        <color rgb="FF848484"/>
      </top>
      <bottom style="medium">
        <color indexed="64"/>
      </bottom>
      <diagonal/>
    </border>
    <border>
      <left/>
      <right/>
      <top style="medium">
        <color theme="1"/>
      </top>
      <bottom/>
      <diagonal/>
    </border>
    <border>
      <left/>
      <right/>
      <top style="medium">
        <color rgb="FF333333"/>
      </top>
      <bottom/>
      <diagonal/>
    </border>
    <border>
      <left/>
      <right/>
      <top/>
      <bottom style="medium">
        <color rgb="FF333333"/>
      </bottom>
      <diagonal/>
    </border>
    <border>
      <left/>
      <right/>
      <top style="medium">
        <color rgb="FF333333"/>
      </top>
      <bottom style="medium">
        <color indexed="64"/>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medium">
        <color indexed="64"/>
      </left>
      <right/>
      <top style="thin">
        <color theme="1"/>
      </top>
      <bottom style="thin">
        <color theme="1"/>
      </bottom>
      <diagonal/>
    </border>
    <border>
      <left style="dashed">
        <color rgb="FFFFFFFF"/>
      </left>
      <right style="dashed">
        <color rgb="FFFFFFFF"/>
      </right>
      <top style="thin">
        <color indexed="64"/>
      </top>
      <bottom/>
      <diagonal/>
    </border>
    <border>
      <left style="thin">
        <color theme="1"/>
      </left>
      <right/>
      <top/>
      <bottom/>
      <diagonal/>
    </border>
    <border>
      <left style="thin">
        <color theme="1"/>
      </left>
      <right/>
      <top/>
      <bottom style="thin">
        <color theme="1"/>
      </bottom>
      <diagonal/>
    </border>
    <border>
      <left style="medium">
        <color indexed="64"/>
      </left>
      <right style="thin">
        <color theme="1"/>
      </right>
      <top style="medium">
        <color indexed="64"/>
      </top>
      <bottom style="thin">
        <color theme="1"/>
      </bottom>
      <diagonal/>
    </border>
    <border>
      <left style="medium">
        <color indexed="64"/>
      </left>
      <right/>
      <top style="thin">
        <color theme="1"/>
      </top>
      <bottom/>
      <diagonal/>
    </border>
    <border>
      <left style="thin">
        <color theme="1"/>
      </left>
      <right style="thin">
        <color rgb="FFFFFFFF"/>
      </right>
      <top style="thin">
        <color theme="1"/>
      </top>
      <bottom/>
      <diagonal/>
    </border>
    <border>
      <left/>
      <right style="thin">
        <color rgb="FFFFFFFF"/>
      </right>
      <top style="thin">
        <color theme="1"/>
      </top>
      <bottom/>
      <diagonal/>
    </border>
    <border>
      <left style="thin">
        <color theme="1"/>
      </left>
      <right style="thin">
        <color theme="1"/>
      </right>
      <top style="thin">
        <color theme="1"/>
      </top>
      <bottom/>
      <diagonal/>
    </border>
    <border>
      <left style="thin">
        <color theme="1"/>
      </left>
      <right style="thin">
        <color theme="1"/>
      </right>
      <top style="thin">
        <color rgb="FFFFFFFF"/>
      </top>
      <bottom style="thin">
        <color theme="1"/>
      </bottom>
      <diagonal/>
    </border>
    <border>
      <left/>
      <right style="thin">
        <color theme="1"/>
      </right>
      <top style="thin">
        <color theme="1"/>
      </top>
      <bottom style="thin">
        <color theme="1"/>
      </bottom>
      <diagonal/>
    </border>
    <border>
      <left style="medium">
        <color indexed="64"/>
      </left>
      <right/>
      <top style="thin">
        <color theme="1"/>
      </top>
      <bottom style="medium">
        <color indexed="64"/>
      </bottom>
      <diagonal/>
    </border>
    <border>
      <left style="thin">
        <color theme="1"/>
      </left>
      <right/>
      <top style="thin">
        <color theme="1"/>
      </top>
      <bottom/>
      <diagonal/>
    </border>
    <border>
      <left style="thin">
        <color theme="1"/>
      </left>
      <right style="thin">
        <color rgb="FFFFFFFF"/>
      </right>
      <top style="medium">
        <color indexed="64"/>
      </top>
      <bottom/>
      <diagonal/>
    </border>
    <border>
      <left style="thin">
        <color theme="1"/>
      </left>
      <right/>
      <top style="thin">
        <color theme="1"/>
      </top>
      <bottom style="thin">
        <color theme="1"/>
      </bottom>
      <diagonal/>
    </border>
    <border>
      <left style="thin">
        <color theme="1"/>
      </left>
      <right style="thin">
        <color theme="1"/>
      </right>
      <top/>
      <bottom/>
      <diagonal/>
    </border>
    <border>
      <left/>
      <right/>
      <top style="thin">
        <color theme="1"/>
      </top>
      <bottom/>
      <diagonal/>
    </border>
    <border>
      <left/>
      <right style="thin">
        <color rgb="FFFFFFFF"/>
      </right>
      <top style="thin">
        <color theme="1"/>
      </top>
      <bottom style="thin">
        <color theme="1"/>
      </bottom>
      <diagonal/>
    </border>
    <border>
      <left/>
      <right style="thin">
        <color rgb="FFFFFFFF"/>
      </right>
      <top style="thin">
        <color theme="1"/>
      </top>
      <bottom style="medium">
        <color indexed="64"/>
      </bottom>
      <diagonal/>
    </border>
    <border>
      <left style="thin">
        <color theme="1"/>
      </left>
      <right style="thin">
        <color theme="1"/>
      </right>
      <top/>
      <bottom style="thin">
        <color theme="1"/>
      </bottom>
      <diagonal/>
    </border>
    <border>
      <left/>
      <right style="thin">
        <color theme="1"/>
      </right>
      <top/>
      <bottom/>
      <diagonal/>
    </border>
    <border>
      <left style="thin">
        <color theme="1"/>
      </left>
      <right style="thin">
        <color theme="1"/>
      </right>
      <top style="thin">
        <color theme="1"/>
      </top>
      <bottom style="medium">
        <color indexed="64"/>
      </bottom>
      <diagonal/>
    </border>
    <border>
      <left style="dashed">
        <color rgb="FFFFFFFF"/>
      </left>
      <right/>
      <top style="thin">
        <color indexed="64"/>
      </top>
      <bottom/>
      <diagonal/>
    </border>
    <border>
      <left style="dashed">
        <color rgb="FFFFFFFF"/>
      </left>
      <right style="medium">
        <color indexed="64"/>
      </right>
      <top style="thin">
        <color indexed="64"/>
      </top>
      <bottom/>
      <diagonal/>
    </border>
    <border>
      <left style="thin">
        <color theme="1"/>
      </left>
      <right style="thin">
        <color theme="1"/>
      </right>
      <top/>
      <bottom style="medium">
        <color indexed="64"/>
      </bottom>
      <diagonal/>
    </border>
    <border>
      <left/>
      <right style="thin">
        <color theme="1"/>
      </right>
      <top/>
      <bottom style="thin">
        <color theme="1"/>
      </bottom>
      <diagonal/>
    </border>
    <border>
      <left style="thin">
        <color theme="1"/>
      </left>
      <right/>
      <top style="thin">
        <color theme="1"/>
      </top>
      <bottom style="medium">
        <color indexed="64"/>
      </bottom>
      <diagonal/>
    </border>
    <border>
      <left style="thin">
        <color theme="1"/>
      </left>
      <right style="thin">
        <color theme="1"/>
      </right>
      <top style="medium">
        <color indexed="64"/>
      </top>
      <bottom style="thin">
        <color theme="1"/>
      </bottom>
      <diagonal/>
    </border>
    <border>
      <left/>
      <right style="thin">
        <color theme="1"/>
      </right>
      <top/>
      <bottom style="medium">
        <color indexed="64"/>
      </bottom>
      <diagonal/>
    </border>
    <border>
      <left style="thin">
        <color theme="1"/>
      </left>
      <right style="thin">
        <color theme="1"/>
      </right>
      <top style="medium">
        <color indexed="64"/>
      </top>
      <bottom/>
      <diagonal/>
    </border>
    <border>
      <left style="thin">
        <color theme="1"/>
      </left>
      <right style="thin">
        <color theme="1"/>
      </right>
      <top style="thin">
        <color theme="1"/>
      </top>
      <bottom style="medium">
        <color theme="1"/>
      </bottom>
      <diagonal/>
    </border>
    <border>
      <left style="medium">
        <color indexed="64"/>
      </left>
      <right style="thin">
        <color theme="1"/>
      </right>
      <top style="medium">
        <color indexed="64"/>
      </top>
      <bottom/>
      <diagonal/>
    </border>
    <border>
      <left style="medium">
        <color indexed="64"/>
      </left>
      <right style="thin">
        <color theme="1"/>
      </right>
      <top style="thin">
        <color rgb="FFFFFFFF"/>
      </top>
      <bottom/>
      <diagonal/>
    </border>
    <border>
      <left/>
      <right/>
      <top style="thin">
        <color theme="1"/>
      </top>
      <bottom style="thin">
        <color theme="1"/>
      </bottom>
      <diagonal/>
    </border>
    <border>
      <left style="medium">
        <color indexed="64"/>
      </left>
      <right style="thin">
        <color theme="1"/>
      </right>
      <top style="thin">
        <color theme="1"/>
      </top>
      <bottom style="medium">
        <color theme="1"/>
      </bottom>
      <diagonal/>
    </border>
    <border>
      <left style="medium">
        <color indexed="64"/>
      </left>
      <right style="thin">
        <color rgb="FFFFFFFF"/>
      </right>
      <top style="thin">
        <color theme="1"/>
      </top>
      <bottom style="medium">
        <color theme="1"/>
      </bottom>
      <diagonal/>
    </border>
    <border>
      <left style="thin">
        <color theme="1"/>
      </left>
      <right/>
      <top style="medium">
        <color theme="1"/>
      </top>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thin">
        <color theme="1"/>
      </left>
      <right/>
      <top/>
      <bottom style="medium">
        <color theme="1"/>
      </bottom>
      <diagonal/>
    </border>
    <border>
      <left/>
      <right style="thin">
        <color theme="1"/>
      </right>
      <top/>
      <bottom style="medium">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style="medium">
        <color auto="1"/>
      </left>
      <right style="thin">
        <color auto="1"/>
      </right>
      <top style="thin">
        <color auto="1"/>
      </top>
      <bottom/>
      <diagonal/>
    </border>
    <border>
      <left style="medium">
        <color rgb="FF333333"/>
      </left>
      <right style="thin">
        <color auto="1"/>
      </right>
      <top style="medium">
        <color rgb="FF333333"/>
      </top>
      <bottom style="thin">
        <color auto="1"/>
      </bottom>
      <diagonal/>
    </border>
    <border>
      <left style="thin">
        <color auto="1"/>
      </left>
      <right style="medium">
        <color rgb="FF333333"/>
      </right>
      <top style="medium">
        <color rgb="FF333333"/>
      </top>
      <bottom style="thin">
        <color auto="1"/>
      </bottom>
      <diagonal/>
    </border>
    <border>
      <left style="medium">
        <color rgb="FF333333"/>
      </left>
      <right style="thin">
        <color auto="1"/>
      </right>
      <top style="thin">
        <color auto="1"/>
      </top>
      <bottom style="medium">
        <color rgb="FF333333"/>
      </bottom>
      <diagonal/>
    </border>
    <border>
      <left style="thin">
        <color auto="1"/>
      </left>
      <right style="medium">
        <color rgb="FF333333"/>
      </right>
      <top style="thin">
        <color auto="1"/>
      </top>
      <bottom style="medium">
        <color rgb="FF333333"/>
      </bottom>
      <diagonal/>
    </border>
    <border>
      <left style="thin">
        <color rgb="FF848484"/>
      </left>
      <right/>
      <top style="medium">
        <color indexed="64"/>
      </top>
      <bottom style="thin">
        <color rgb="FF848484"/>
      </bottom>
      <diagonal/>
    </border>
    <border>
      <left style="thin">
        <color rgb="FF333333"/>
      </left>
      <right style="thin">
        <color rgb="FF333333"/>
      </right>
      <top/>
      <bottom style="thin">
        <color rgb="FF333333"/>
      </bottom>
      <diagonal/>
    </border>
    <border>
      <left/>
      <right style="thin">
        <color rgb="FF848484"/>
      </right>
      <top/>
      <bottom style="thin">
        <color rgb="FF848484"/>
      </bottom>
      <diagonal/>
    </border>
    <border>
      <left style="thin">
        <color rgb="FF848484"/>
      </left>
      <right/>
      <top style="thin">
        <color rgb="FF848484"/>
      </top>
      <bottom style="thin">
        <color rgb="FF848484"/>
      </bottom>
      <diagonal/>
    </border>
    <border>
      <left style="thin">
        <color rgb="FF333333"/>
      </left>
      <right style="thin">
        <color rgb="FF333333"/>
      </right>
      <top style="thin">
        <color rgb="FF333333"/>
      </top>
      <bottom style="thin">
        <color rgb="FF333333"/>
      </bottom>
      <diagonal/>
    </border>
    <border>
      <left/>
      <right style="thin">
        <color rgb="FF848484"/>
      </right>
      <top style="thin">
        <color rgb="FF848484"/>
      </top>
      <bottom style="thin">
        <color rgb="FF848484"/>
      </bottom>
      <diagonal/>
    </border>
    <border>
      <left style="thin">
        <color rgb="FF848484"/>
      </left>
      <right style="thin">
        <color rgb="FF848484"/>
      </right>
      <top style="thin">
        <color rgb="FF848484"/>
      </top>
      <bottom style="medium">
        <color theme="1"/>
      </bottom>
      <diagonal/>
    </border>
    <border>
      <left style="thin">
        <color rgb="FF848484"/>
      </left>
      <right/>
      <top style="thin">
        <color rgb="FF848484"/>
      </top>
      <bottom style="medium">
        <color theme="1"/>
      </bottom>
      <diagonal/>
    </border>
    <border>
      <left style="thin">
        <color rgb="FF333333"/>
      </left>
      <right style="thin">
        <color rgb="FF333333"/>
      </right>
      <top style="thin">
        <color rgb="FF333333"/>
      </top>
      <bottom style="medium">
        <color theme="1"/>
      </bottom>
      <diagonal/>
    </border>
    <border>
      <left/>
      <right style="thin">
        <color rgb="FF848484"/>
      </right>
      <top style="thin">
        <color rgb="FF848484"/>
      </top>
      <bottom style="medium">
        <color theme="1"/>
      </bottom>
      <diagonal/>
    </border>
    <border>
      <left style="thin">
        <color rgb="FF848484"/>
      </left>
      <right style="medium">
        <color indexed="64"/>
      </right>
      <top style="thin">
        <color rgb="FF848484"/>
      </top>
      <bottom style="medium">
        <color theme="1"/>
      </bottom>
      <diagonal/>
    </border>
    <border>
      <left/>
      <right style="thin">
        <color rgb="FF848484"/>
      </right>
      <top style="medium">
        <color indexed="64"/>
      </top>
      <bottom style="thin">
        <color rgb="FF848484"/>
      </bottom>
      <diagonal/>
    </border>
    <border>
      <left style="medium">
        <color indexed="64"/>
      </left>
      <right style="medium">
        <color indexed="64"/>
      </right>
      <top style="medium">
        <color indexed="64"/>
      </top>
      <bottom style="medium">
        <color theme="1"/>
      </bottom>
      <diagonal/>
    </border>
    <border>
      <left style="medium">
        <color indexed="64"/>
      </left>
      <right style="thin">
        <color theme="1"/>
      </right>
      <top style="thin">
        <color rgb="FFFFFFFF"/>
      </top>
      <bottom style="medium">
        <color theme="1"/>
      </bottom>
      <diagonal/>
    </border>
    <border>
      <left style="medium">
        <color rgb="FF262626"/>
      </left>
      <right style="thin">
        <color rgb="FFD9D9D9"/>
      </right>
      <top style="medium">
        <color rgb="FF262626"/>
      </top>
      <bottom style="thin">
        <color rgb="FFD9D9D9"/>
      </bottom>
      <diagonal/>
    </border>
    <border>
      <left/>
      <right style="thin">
        <color rgb="FFD9D9D9"/>
      </right>
      <top style="medium">
        <color rgb="FF262626"/>
      </top>
      <bottom style="thin">
        <color rgb="FFD9D9D9"/>
      </bottom>
      <diagonal/>
    </border>
    <border>
      <left style="thin">
        <color rgb="FFD9D9D9"/>
      </left>
      <right style="thin">
        <color rgb="FFD9D9D9"/>
      </right>
      <top style="medium">
        <color rgb="FF262626"/>
      </top>
      <bottom style="thin">
        <color rgb="FFD9D9D9"/>
      </bottom>
      <diagonal/>
    </border>
    <border>
      <left style="thin">
        <color rgb="FFD9D9D9"/>
      </left>
      <right/>
      <top style="medium">
        <color rgb="FF262626"/>
      </top>
      <bottom style="thin">
        <color rgb="FFD9D9D9"/>
      </bottom>
      <diagonal/>
    </border>
    <border>
      <left style="medium">
        <color indexed="64"/>
      </left>
      <right style="thin">
        <color rgb="FFD9D9D9"/>
      </right>
      <top style="medium">
        <color indexed="64"/>
      </top>
      <bottom style="thin">
        <color rgb="FFD9D9D9"/>
      </bottom>
      <diagonal/>
    </border>
    <border>
      <left/>
      <right style="thin">
        <color rgb="FFD9D9D9"/>
      </right>
      <top style="medium">
        <color indexed="64"/>
      </top>
      <bottom style="thin">
        <color rgb="FFD9D9D9"/>
      </bottom>
      <diagonal/>
    </border>
    <border>
      <left style="thin">
        <color rgb="FFD9D9D9"/>
      </left>
      <right style="thin">
        <color rgb="FFD9D9D9"/>
      </right>
      <top style="medium">
        <color indexed="64"/>
      </top>
      <bottom style="thin">
        <color rgb="FFD9D9D9"/>
      </bottom>
      <diagonal/>
    </border>
    <border>
      <left style="thin">
        <color rgb="FFD9D9D9"/>
      </left>
      <right style="medium">
        <color indexed="64"/>
      </right>
      <top style="medium">
        <color indexed="64"/>
      </top>
      <bottom style="thin">
        <color rgb="FFD9D9D9"/>
      </bottom>
      <diagonal/>
    </border>
    <border>
      <left style="medium">
        <color rgb="FF262626"/>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medium">
        <color indexed="64"/>
      </left>
      <right style="thin">
        <color rgb="FFD9D9D9"/>
      </right>
      <top style="thin">
        <color rgb="FFD9D9D9"/>
      </top>
      <bottom style="thin">
        <color rgb="FFD9D9D9"/>
      </bottom>
      <diagonal/>
    </border>
    <border>
      <left style="thin">
        <color rgb="FFD9D9D9"/>
      </left>
      <right style="medium">
        <color indexed="64"/>
      </right>
      <top style="thin">
        <color rgb="FFD9D9D9"/>
      </top>
      <bottom style="thin">
        <color rgb="FFD9D9D9"/>
      </bottom>
      <diagonal/>
    </border>
    <border>
      <left style="medium">
        <color rgb="FF262626"/>
      </left>
      <right style="thin">
        <color rgb="FFD9D9D9"/>
      </right>
      <top style="medium">
        <color rgb="FF262626"/>
      </top>
      <bottom/>
      <diagonal/>
    </border>
    <border>
      <left style="thin">
        <color rgb="FFD9D9D9"/>
      </left>
      <right style="thin">
        <color rgb="FFD9D9D9"/>
      </right>
      <top style="medium">
        <color rgb="FF262626"/>
      </top>
      <bottom/>
      <diagonal/>
    </border>
    <border>
      <left style="thin">
        <color rgb="FFD9D9D9"/>
      </left>
      <right style="medium">
        <color rgb="FF262626"/>
      </right>
      <top style="medium">
        <color rgb="FF262626"/>
      </top>
      <bottom/>
      <diagonal/>
    </border>
    <border>
      <left style="medium">
        <color rgb="FF262626"/>
      </left>
      <right style="thin">
        <color rgb="FFD9D9D9"/>
      </right>
      <top/>
      <bottom style="thin">
        <color rgb="FF848484"/>
      </bottom>
      <diagonal/>
    </border>
    <border>
      <left style="thin">
        <color rgb="FFD9D9D9"/>
      </left>
      <right style="thin">
        <color rgb="FFD9D9D9"/>
      </right>
      <top/>
      <bottom style="thin">
        <color rgb="FF848484"/>
      </bottom>
      <diagonal/>
    </border>
    <border>
      <left style="thin">
        <color rgb="FFD9D9D9"/>
      </left>
      <right style="medium">
        <color rgb="FF262626"/>
      </right>
      <top/>
      <bottom style="thin">
        <color rgb="FF848484"/>
      </bottom>
      <diagonal/>
    </border>
    <border>
      <left style="medium">
        <color rgb="FF262626"/>
      </left>
      <right style="thin">
        <color rgb="FFD9D9D9"/>
      </right>
      <top style="thin">
        <color rgb="FFD9D9D9"/>
      </top>
      <bottom style="thin">
        <color rgb="FF848484"/>
      </bottom>
      <diagonal/>
    </border>
    <border>
      <left/>
      <right style="thin">
        <color rgb="FFD9D9D9"/>
      </right>
      <top style="thin">
        <color rgb="FFD9D9D9"/>
      </top>
      <bottom style="thin">
        <color rgb="FF848484"/>
      </bottom>
      <diagonal/>
    </border>
    <border>
      <left style="thin">
        <color rgb="FFD9D9D9"/>
      </left>
      <right style="thin">
        <color rgb="FFD9D9D9"/>
      </right>
      <top style="thin">
        <color rgb="FFD9D9D9"/>
      </top>
      <bottom style="thin">
        <color rgb="FF848484"/>
      </bottom>
      <diagonal/>
    </border>
    <border>
      <left style="thin">
        <color rgb="FFD9D9D9"/>
      </left>
      <right/>
      <top style="thin">
        <color rgb="FFD9D9D9"/>
      </top>
      <bottom style="thin">
        <color rgb="FF848484"/>
      </bottom>
      <diagonal/>
    </border>
    <border>
      <left style="medium">
        <color indexed="64"/>
      </left>
      <right style="thin">
        <color rgb="FFD9D9D9"/>
      </right>
      <top style="thin">
        <color rgb="FFD9D9D9"/>
      </top>
      <bottom style="thin">
        <color rgb="FF848484"/>
      </bottom>
      <diagonal/>
    </border>
    <border>
      <left style="thin">
        <color rgb="FFD9D9D9"/>
      </left>
      <right style="medium">
        <color indexed="64"/>
      </right>
      <top style="thin">
        <color rgb="FFD9D9D9"/>
      </top>
      <bottom style="thin">
        <color rgb="FF848484"/>
      </bottom>
      <diagonal/>
    </border>
    <border>
      <left style="medium">
        <color auto="1"/>
      </left>
      <right/>
      <top/>
      <bottom style="thin">
        <color indexed="64"/>
      </bottom>
      <diagonal/>
    </border>
    <border>
      <left/>
      <right style="medium">
        <color indexed="64"/>
      </right>
      <top/>
      <bottom style="thin">
        <color indexed="64"/>
      </bottom>
      <diagonal/>
    </border>
    <border>
      <left style="medium">
        <color rgb="FF262626"/>
      </left>
      <right style="thin">
        <color rgb="FF848484"/>
      </right>
      <top style="thin">
        <color rgb="FF848484"/>
      </top>
      <bottom style="thin">
        <color rgb="FF848484"/>
      </bottom>
      <diagonal/>
    </border>
    <border>
      <left style="thin">
        <color rgb="FF848484"/>
      </left>
      <right style="medium">
        <color rgb="FF262626"/>
      </right>
      <top style="thin">
        <color rgb="FF848484"/>
      </top>
      <bottom style="thin">
        <color rgb="FF848484"/>
      </bottom>
      <diagonal/>
    </border>
    <border>
      <left style="medium">
        <color auto="1"/>
      </left>
      <right style="thin">
        <color rgb="FF848484"/>
      </right>
      <top style="thin">
        <color rgb="FF848484"/>
      </top>
      <bottom style="thin">
        <color rgb="FF848484"/>
      </bottom>
      <diagonal/>
    </border>
    <border>
      <left style="medium">
        <color indexed="64"/>
      </left>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rgb="FF262626"/>
      </left>
      <right/>
      <top style="thin">
        <color rgb="FF848484"/>
      </top>
      <bottom/>
      <diagonal/>
    </border>
    <border>
      <left/>
      <right/>
      <top style="thin">
        <color rgb="FF848484"/>
      </top>
      <bottom/>
      <diagonal/>
    </border>
    <border>
      <left/>
      <right style="thin">
        <color rgb="FF848484"/>
      </right>
      <top style="thin">
        <color rgb="FF848484"/>
      </top>
      <bottom/>
      <diagonal/>
    </border>
    <border>
      <left style="thin">
        <color rgb="FF848484"/>
      </left>
      <right/>
      <top style="thin">
        <color rgb="FF848484"/>
      </top>
      <bottom/>
      <diagonal/>
    </border>
    <border>
      <left style="medium">
        <color indexed="64"/>
      </left>
      <right/>
      <top style="thin">
        <color rgb="FF848484"/>
      </top>
      <bottom/>
      <diagonal/>
    </border>
    <border>
      <left/>
      <right style="medium">
        <color indexed="64"/>
      </right>
      <top style="thin">
        <color rgb="FF848484"/>
      </top>
      <bottom/>
      <diagonal/>
    </border>
    <border>
      <left style="medium">
        <color rgb="FF262626"/>
      </left>
      <right/>
      <top/>
      <bottom style="thin">
        <color rgb="FF848484"/>
      </bottom>
      <diagonal/>
    </border>
    <border>
      <left/>
      <right/>
      <top/>
      <bottom style="thin">
        <color rgb="FF848484"/>
      </bottom>
      <diagonal/>
    </border>
    <border>
      <left style="thin">
        <color rgb="FF848484"/>
      </left>
      <right/>
      <top/>
      <bottom style="thin">
        <color rgb="FF848484"/>
      </bottom>
      <diagonal/>
    </border>
    <border>
      <left style="medium">
        <color indexed="64"/>
      </left>
      <right/>
      <top/>
      <bottom style="thin">
        <color rgb="FF848484"/>
      </bottom>
      <diagonal/>
    </border>
    <border>
      <left/>
      <right style="medium">
        <color indexed="64"/>
      </right>
      <top/>
      <bottom style="thin">
        <color rgb="FF848484"/>
      </bottom>
      <diagonal/>
    </border>
    <border>
      <left style="medium">
        <color rgb="FF262626"/>
      </left>
      <right style="thin">
        <color rgb="FF848484"/>
      </right>
      <top style="thin">
        <color rgb="FF848484"/>
      </top>
      <bottom style="medium">
        <color rgb="FF262626"/>
      </bottom>
      <diagonal/>
    </border>
    <border>
      <left style="thin">
        <color rgb="FF848484"/>
      </left>
      <right style="thin">
        <color rgb="FF848484"/>
      </right>
      <top style="thin">
        <color rgb="FF848484"/>
      </top>
      <bottom style="medium">
        <color rgb="FF262626"/>
      </bottom>
      <diagonal/>
    </border>
    <border>
      <left style="medium">
        <color rgb="FF262626"/>
      </left>
      <right/>
      <top/>
      <bottom style="medium">
        <color rgb="FF262626"/>
      </bottom>
      <diagonal/>
    </border>
    <border>
      <left/>
      <right/>
      <top/>
      <bottom style="medium">
        <color rgb="FF262626"/>
      </bottom>
      <diagonal/>
    </border>
    <border>
      <left/>
      <right style="thin">
        <color rgb="FF848484"/>
      </right>
      <top/>
      <bottom style="medium">
        <color rgb="FF262626"/>
      </bottom>
      <diagonal/>
    </border>
    <border>
      <left style="thin">
        <color rgb="FF848484"/>
      </left>
      <right/>
      <top/>
      <bottom style="medium">
        <color rgb="FF262626"/>
      </bottom>
      <diagonal/>
    </border>
    <border>
      <left/>
      <right style="thin">
        <color rgb="FF848484"/>
      </right>
      <top/>
      <bottom style="medium">
        <color indexed="64"/>
      </bottom>
      <diagonal/>
    </border>
    <border>
      <left style="thin">
        <color rgb="FF848484"/>
      </left>
      <right/>
      <top/>
      <bottom style="medium">
        <color indexed="64"/>
      </bottom>
      <diagonal/>
    </border>
    <border>
      <left style="thin">
        <color indexed="64"/>
      </left>
      <right/>
      <top/>
      <bottom style="medium">
        <color indexed="64"/>
      </bottom>
      <diagonal/>
    </border>
    <border>
      <left/>
      <right/>
      <top style="medium">
        <color rgb="FF333333"/>
      </top>
      <bottom style="medium">
        <color theme="1"/>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right style="medium">
        <color rgb="FF262626"/>
      </right>
      <top style="thin">
        <color rgb="FF848484"/>
      </top>
      <bottom/>
      <diagonal/>
    </border>
    <border>
      <left/>
      <right style="medium">
        <color rgb="FF262626"/>
      </right>
      <top/>
      <bottom style="thin">
        <color rgb="FF848484"/>
      </bottom>
      <diagonal/>
    </border>
    <border>
      <left/>
      <right style="medium">
        <color rgb="FF262626"/>
      </right>
      <top/>
      <bottom style="medium">
        <color rgb="FF262626"/>
      </bottom>
      <diagonal/>
    </border>
    <border>
      <left/>
      <right style="medium">
        <color indexed="64"/>
      </right>
      <top/>
      <bottom style="medium">
        <color rgb="FF262626"/>
      </bottom>
      <diagonal/>
    </border>
    <border>
      <left/>
      <right style="thin">
        <color theme="0"/>
      </right>
      <top/>
      <bottom/>
      <diagonal/>
    </border>
    <border>
      <left style="thin">
        <color theme="0"/>
      </left>
      <right style="thin">
        <color theme="0"/>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s>
  <cellStyleXfs count="4">
    <xf numFmtId="0" fontId="0" fillId="0" borderId="0"/>
    <xf numFmtId="0" fontId="3" fillId="0" borderId="0"/>
    <xf numFmtId="44" fontId="15" fillId="0" borderId="0" applyFont="0" applyFill="0" applyBorder="0" applyAlignment="0" applyProtection="0"/>
    <xf numFmtId="164" fontId="15" fillId="0" borderId="0" applyFont="0" applyFill="0" applyBorder="0" applyAlignment="0" applyProtection="0"/>
  </cellStyleXfs>
  <cellXfs count="631">
    <xf numFmtId="0" fontId="0" fillId="0" borderId="0" xfId="0"/>
    <xf numFmtId="0" fontId="3" fillId="0" borderId="0" xfId="1"/>
    <xf numFmtId="0" fontId="2" fillId="0" borderId="0" xfId="0" applyFont="1"/>
    <xf numFmtId="0" fontId="0" fillId="0" borderId="0" xfId="0" applyAlignment="1">
      <alignment horizontal="left" vertical="top" wrapText="1"/>
    </xf>
    <xf numFmtId="0" fontId="3" fillId="0" borderId="0" xfId="1" applyAlignment="1">
      <alignment vertical="top" wrapText="1"/>
    </xf>
    <xf numFmtId="0" fontId="7" fillId="0" borderId="0" xfId="0" applyFont="1" applyAlignment="1">
      <alignment vertical="top"/>
    </xf>
    <xf numFmtId="0" fontId="10" fillId="3" borderId="10" xfId="1" applyFont="1" applyFill="1" applyBorder="1" applyAlignment="1">
      <alignment vertical="center" wrapText="1"/>
    </xf>
    <xf numFmtId="0" fontId="10" fillId="3" borderId="11" xfId="1" applyFont="1" applyFill="1" applyBorder="1" applyAlignment="1">
      <alignment vertical="center"/>
    </xf>
    <xf numFmtId="0" fontId="10" fillId="3" borderId="12" xfId="1" applyFont="1" applyFill="1" applyBorder="1" applyAlignment="1">
      <alignment vertical="center"/>
    </xf>
    <xf numFmtId="0" fontId="0" fillId="0" borderId="0" xfId="0" applyAlignment="1">
      <alignment vertical="center" wrapText="1"/>
    </xf>
    <xf numFmtId="0" fontId="0" fillId="0" borderId="0" xfId="0" applyAlignment="1">
      <alignment horizontal="center" vertical="center"/>
    </xf>
    <xf numFmtId="0" fontId="2" fillId="0" borderId="0" xfId="0" applyFont="1" applyAlignment="1">
      <alignment vertical="center" wrapText="1"/>
    </xf>
    <xf numFmtId="0" fontId="0" fillId="0" borderId="0" xfId="0" applyAlignment="1">
      <alignment wrapText="1"/>
    </xf>
    <xf numFmtId="0" fontId="6" fillId="2" borderId="0" xfId="1" applyFont="1" applyFill="1" applyAlignment="1">
      <alignment horizontal="left" vertical="center"/>
    </xf>
    <xf numFmtId="0" fontId="0" fillId="0" borderId="0" xfId="0" applyAlignment="1">
      <alignment horizontal="left" vertical="top"/>
    </xf>
    <xf numFmtId="0" fontId="0" fillId="0" borderId="0" xfId="0" applyAlignment="1">
      <alignment horizontal="center"/>
    </xf>
    <xf numFmtId="0" fontId="2" fillId="0" borderId="0" xfId="0" applyFont="1" applyAlignment="1">
      <alignment horizontal="center" vertical="center" wrapText="1"/>
    </xf>
    <xf numFmtId="0" fontId="3" fillId="6" borderId="9" xfId="1" applyFill="1" applyBorder="1"/>
    <xf numFmtId="0" fontId="3" fillId="6" borderId="25" xfId="1" applyFill="1" applyBorder="1"/>
    <xf numFmtId="0" fontId="3" fillId="6" borderId="21" xfId="1" applyFill="1" applyBorder="1"/>
    <xf numFmtId="0" fontId="3" fillId="6" borderId="13" xfId="1" applyFill="1" applyBorder="1"/>
    <xf numFmtId="0" fontId="3" fillId="6" borderId="22" xfId="1" applyFill="1" applyBorder="1"/>
    <xf numFmtId="0" fontId="3" fillId="6" borderId="0" xfId="1" applyFill="1"/>
    <xf numFmtId="0" fontId="3" fillId="6" borderId="20" xfId="1" applyFill="1" applyBorder="1"/>
    <xf numFmtId="0" fontId="3" fillId="6" borderId="24" xfId="1" applyFill="1" applyBorder="1"/>
    <xf numFmtId="0" fontId="3" fillId="6" borderId="23" xfId="1" applyFill="1" applyBorder="1"/>
    <xf numFmtId="0" fontId="3" fillId="4" borderId="32" xfId="1" applyFill="1" applyBorder="1" applyAlignment="1">
      <alignment vertical="center" wrapText="1"/>
    </xf>
    <xf numFmtId="0" fontId="3" fillId="5" borderId="33" xfId="1" applyFill="1" applyBorder="1" applyAlignment="1">
      <alignment vertical="center" wrapText="1"/>
    </xf>
    <xf numFmtId="0" fontId="3" fillId="5" borderId="0" xfId="1" applyFill="1" applyAlignment="1">
      <alignment vertical="center" wrapText="1"/>
    </xf>
    <xf numFmtId="0" fontId="18" fillId="3" borderId="9" xfId="1" applyFont="1" applyFill="1" applyBorder="1" applyAlignment="1">
      <alignment horizontal="center" vertical="center"/>
    </xf>
    <xf numFmtId="0" fontId="18" fillId="3" borderId="34" xfId="1" applyFont="1" applyFill="1" applyBorder="1" applyAlignment="1">
      <alignment horizontal="center" vertical="center" wrapText="1"/>
    </xf>
    <xf numFmtId="0" fontId="3" fillId="9" borderId="35" xfId="1" applyFill="1" applyBorder="1" applyAlignment="1">
      <alignment horizontal="left" vertical="center" wrapText="1"/>
    </xf>
    <xf numFmtId="0" fontId="3" fillId="0" borderId="35" xfId="1" applyBorder="1" applyAlignment="1">
      <alignment horizontal="left" vertical="center" wrapText="1"/>
    </xf>
    <xf numFmtId="0" fontId="3" fillId="4" borderId="0" xfId="1" applyFill="1" applyAlignment="1">
      <alignment vertical="center" wrapText="1"/>
    </xf>
    <xf numFmtId="0" fontId="3" fillId="6" borderId="22" xfId="1" applyFill="1" applyBorder="1" applyAlignment="1">
      <alignment vertical="top"/>
    </xf>
    <xf numFmtId="0" fontId="0" fillId="10" borderId="0" xfId="0" applyFill="1" applyAlignment="1">
      <alignment horizontal="left" vertical="top"/>
    </xf>
    <xf numFmtId="0" fontId="0" fillId="0" borderId="39" xfId="0" applyBorder="1" applyAlignment="1">
      <alignment horizontal="left" vertical="top"/>
    </xf>
    <xf numFmtId="0" fontId="3" fillId="0" borderId="0" xfId="1" applyAlignment="1">
      <alignment horizontal="center"/>
    </xf>
    <xf numFmtId="0" fontId="3" fillId="0" borderId="0" xfId="1" applyAlignment="1">
      <alignment horizontal="center" vertical="center"/>
    </xf>
    <xf numFmtId="0" fontId="3" fillId="0" borderId="0" xfId="1" applyAlignment="1">
      <alignment vertical="center"/>
    </xf>
    <xf numFmtId="0" fontId="3" fillId="0" borderId="0" xfId="1" applyAlignment="1">
      <alignment wrapText="1"/>
    </xf>
    <xf numFmtId="0" fontId="21" fillId="0" borderId="0" xfId="1" applyFont="1" applyAlignment="1">
      <alignment horizontal="center" wrapText="1"/>
    </xf>
    <xf numFmtId="0" fontId="22" fillId="3" borderId="0" xfId="1" applyFont="1" applyFill="1" applyAlignment="1">
      <alignment horizontal="left" vertical="center"/>
    </xf>
    <xf numFmtId="0" fontId="23" fillId="0" borderId="0" xfId="0" applyFont="1"/>
    <xf numFmtId="0" fontId="24" fillId="0" borderId="0" xfId="1" applyFont="1" applyAlignment="1">
      <alignment horizontal="center"/>
    </xf>
    <xf numFmtId="0" fontId="11" fillId="3" borderId="40" xfId="1" applyFont="1" applyFill="1" applyBorder="1" applyAlignment="1">
      <alignment horizontal="center" vertical="center" wrapText="1"/>
    </xf>
    <xf numFmtId="0" fontId="11" fillId="3" borderId="46" xfId="1" applyFont="1" applyFill="1" applyBorder="1" applyAlignment="1">
      <alignment horizontal="center" vertical="center" wrapText="1"/>
    </xf>
    <xf numFmtId="0" fontId="11" fillId="3" borderId="6" xfId="1" applyFont="1" applyFill="1" applyBorder="1" applyAlignment="1">
      <alignment horizontal="center" vertical="center" wrapText="1"/>
    </xf>
    <xf numFmtId="0" fontId="11" fillId="3" borderId="7" xfId="1" applyFont="1" applyFill="1" applyBorder="1" applyAlignment="1">
      <alignment horizontal="center" vertical="center" wrapText="1"/>
    </xf>
    <xf numFmtId="0" fontId="11" fillId="3" borderId="37" xfId="1" applyFont="1" applyFill="1" applyBorder="1" applyAlignment="1">
      <alignment horizontal="center" vertical="center" wrapText="1"/>
    </xf>
    <xf numFmtId="0" fontId="21" fillId="12" borderId="0" xfId="1" applyFont="1" applyFill="1" applyAlignment="1">
      <alignment horizontal="center" wrapText="1"/>
    </xf>
    <xf numFmtId="0" fontId="3" fillId="4" borderId="8" xfId="1" applyFill="1" applyBorder="1" applyAlignment="1">
      <alignment horizontal="center" vertical="center" wrapText="1"/>
    </xf>
    <xf numFmtId="0" fontId="3" fillId="4" borderId="8" xfId="1" applyFill="1" applyBorder="1" applyAlignment="1">
      <alignment vertical="center"/>
    </xf>
    <xf numFmtId="0" fontId="3" fillId="0" borderId="49" xfId="1" applyBorder="1" applyAlignment="1">
      <alignment horizontal="center" vertical="center"/>
    </xf>
    <xf numFmtId="0" fontId="3" fillId="0" borderId="51" xfId="1" applyBorder="1"/>
    <xf numFmtId="0" fontId="3" fillId="12" borderId="51" xfId="1" applyFill="1" applyBorder="1"/>
    <xf numFmtId="0" fontId="3" fillId="5" borderId="33" xfId="1" applyFill="1" applyBorder="1" applyAlignment="1">
      <alignment horizontal="center" vertical="center" wrapText="1"/>
    </xf>
    <xf numFmtId="0" fontId="3" fillId="0" borderId="52" xfId="1" applyBorder="1"/>
    <xf numFmtId="0" fontId="3" fillId="12" borderId="52" xfId="1" applyFill="1" applyBorder="1"/>
    <xf numFmtId="0" fontId="3" fillId="4" borderId="33" xfId="1" applyFill="1" applyBorder="1" applyAlignment="1">
      <alignment horizontal="center" vertical="center" wrapText="1"/>
    </xf>
    <xf numFmtId="0" fontId="11" fillId="3" borderId="9" xfId="1" applyFont="1" applyFill="1" applyBorder="1" applyAlignment="1">
      <alignment vertical="center"/>
    </xf>
    <xf numFmtId="0" fontId="11" fillId="3" borderId="9" xfId="1" applyFont="1" applyFill="1" applyBorder="1" applyAlignment="1">
      <alignment horizontal="center" vertical="center" wrapText="1"/>
    </xf>
    <xf numFmtId="0" fontId="25" fillId="7" borderId="57" xfId="1" applyFont="1" applyFill="1" applyBorder="1" applyAlignment="1">
      <alignment horizontal="center" vertical="center"/>
    </xf>
    <xf numFmtId="0" fontId="3" fillId="0" borderId="58" xfId="1" applyBorder="1" applyAlignment="1">
      <alignment vertical="center" wrapText="1"/>
    </xf>
    <xf numFmtId="0" fontId="25" fillId="7" borderId="60" xfId="1" applyFont="1" applyFill="1" applyBorder="1" applyAlignment="1">
      <alignment horizontal="center" vertical="center"/>
    </xf>
    <xf numFmtId="0" fontId="3" fillId="0" borderId="49" xfId="1" applyBorder="1" applyAlignment="1">
      <alignment vertical="center" wrapText="1"/>
    </xf>
    <xf numFmtId="0" fontId="25" fillId="7" borderId="62" xfId="1" applyFont="1" applyFill="1" applyBorder="1" applyAlignment="1">
      <alignment horizontal="center" vertical="center"/>
    </xf>
    <xf numFmtId="0" fontId="3" fillId="0" borderId="63" xfId="1" applyBorder="1" applyAlignment="1">
      <alignment vertical="center" wrapText="1"/>
    </xf>
    <xf numFmtId="0" fontId="17" fillId="0" borderId="0" xfId="1" applyFont="1" applyAlignment="1">
      <alignment horizontal="left" vertical="top"/>
    </xf>
    <xf numFmtId="0" fontId="3" fillId="16" borderId="65" xfId="1" applyFill="1" applyBorder="1"/>
    <xf numFmtId="0" fontId="3" fillId="16" borderId="0" xfId="1" applyFill="1"/>
    <xf numFmtId="0" fontId="3" fillId="0" borderId="66" xfId="1" applyBorder="1"/>
    <xf numFmtId="0" fontId="0" fillId="0" borderId="24" xfId="0" applyBorder="1"/>
    <xf numFmtId="0" fontId="17" fillId="15" borderId="67" xfId="1" applyFont="1" applyFill="1" applyBorder="1"/>
    <xf numFmtId="0" fontId="2" fillId="0" borderId="0" xfId="0" applyFont="1" applyAlignment="1">
      <alignment horizontal="left" vertical="top" wrapText="1"/>
    </xf>
    <xf numFmtId="0" fontId="3" fillId="16" borderId="65" xfId="1" applyFill="1" applyBorder="1" applyAlignment="1">
      <alignment horizontal="center"/>
    </xf>
    <xf numFmtId="0" fontId="3" fillId="16" borderId="0" xfId="1" applyFill="1" applyAlignment="1">
      <alignment horizontal="center"/>
    </xf>
    <xf numFmtId="0" fontId="3" fillId="0" borderId="66" xfId="1" applyBorder="1" applyAlignment="1">
      <alignment horizontal="center"/>
    </xf>
    <xf numFmtId="0" fontId="3" fillId="5" borderId="53" xfId="1" applyFill="1" applyBorder="1" applyAlignment="1">
      <alignment vertical="center" wrapText="1"/>
    </xf>
    <xf numFmtId="0" fontId="20" fillId="5" borderId="68" xfId="1" applyFont="1" applyFill="1" applyBorder="1" applyAlignment="1">
      <alignment vertical="center" wrapText="1"/>
    </xf>
    <xf numFmtId="0" fontId="10" fillId="3" borderId="71" xfId="1" applyFont="1" applyFill="1" applyBorder="1" applyAlignment="1">
      <alignment vertical="center"/>
    </xf>
    <xf numFmtId="0" fontId="3" fillId="4" borderId="73" xfId="1" applyFill="1" applyBorder="1" applyAlignment="1">
      <alignment vertical="center" wrapText="1"/>
    </xf>
    <xf numFmtId="0" fontId="20" fillId="4" borderId="74" xfId="1" applyFont="1" applyFill="1" applyBorder="1" applyAlignment="1">
      <alignment vertical="center" wrapText="1"/>
    </xf>
    <xf numFmtId="0" fontId="20" fillId="5" borderId="75" xfId="1" applyFont="1" applyFill="1" applyBorder="1" applyAlignment="1">
      <alignment vertical="center" wrapText="1"/>
    </xf>
    <xf numFmtId="0" fontId="20" fillId="4" borderId="75" xfId="1" applyFont="1" applyFill="1" applyBorder="1" applyAlignment="1">
      <alignment vertical="center" wrapText="1"/>
    </xf>
    <xf numFmtId="0" fontId="3" fillId="5" borderId="77" xfId="1" applyFill="1" applyBorder="1" applyAlignment="1">
      <alignment vertical="center" wrapText="1"/>
    </xf>
    <xf numFmtId="0" fontId="3" fillId="4" borderId="80" xfId="1" applyFill="1" applyBorder="1" applyAlignment="1">
      <alignment vertical="center" wrapText="1"/>
    </xf>
    <xf numFmtId="0" fontId="20" fillId="4" borderId="81" xfId="1" applyFont="1" applyFill="1" applyBorder="1" applyAlignment="1">
      <alignment vertical="center" wrapText="1"/>
    </xf>
    <xf numFmtId="0" fontId="3" fillId="5" borderId="82" xfId="1" applyFill="1" applyBorder="1" applyAlignment="1">
      <alignment vertical="center" wrapText="1"/>
    </xf>
    <xf numFmtId="0" fontId="3" fillId="4" borderId="83" xfId="1" applyFill="1" applyBorder="1" applyAlignment="1">
      <alignment vertical="center" wrapText="1"/>
    </xf>
    <xf numFmtId="0" fontId="3" fillId="5" borderId="84" xfId="1" applyFill="1" applyBorder="1" applyAlignment="1">
      <alignment vertical="center" wrapText="1"/>
    </xf>
    <xf numFmtId="0" fontId="3" fillId="4" borderId="76" xfId="1" applyFill="1" applyBorder="1" applyAlignment="1">
      <alignment vertical="center" wrapText="1"/>
    </xf>
    <xf numFmtId="0" fontId="3" fillId="5" borderId="73" xfId="1" applyFill="1" applyBorder="1" applyAlignment="1">
      <alignment vertical="center" wrapText="1"/>
    </xf>
    <xf numFmtId="0" fontId="3" fillId="5" borderId="85" xfId="1" applyFill="1" applyBorder="1" applyAlignment="1">
      <alignment vertical="center" wrapText="1"/>
    </xf>
    <xf numFmtId="0" fontId="3" fillId="4" borderId="69" xfId="1" applyFill="1" applyBorder="1" applyAlignment="1">
      <alignment vertical="center" wrapText="1"/>
    </xf>
    <xf numFmtId="0" fontId="3" fillId="4" borderId="86" xfId="1" applyFill="1" applyBorder="1" applyAlignment="1">
      <alignment vertical="center" wrapText="1"/>
    </xf>
    <xf numFmtId="0" fontId="3" fillId="4" borderId="87" xfId="1" applyFill="1" applyBorder="1" applyAlignment="1">
      <alignment vertical="center" wrapText="1"/>
    </xf>
    <xf numFmtId="0" fontId="3" fillId="5" borderId="87" xfId="1" applyFill="1" applyBorder="1" applyAlignment="1">
      <alignment vertical="center" wrapText="1"/>
    </xf>
    <xf numFmtId="0" fontId="3" fillId="4" borderId="88" xfId="1" applyFill="1" applyBorder="1" applyAlignment="1">
      <alignment vertical="center" wrapText="1"/>
    </xf>
    <xf numFmtId="0" fontId="3" fillId="4" borderId="78" xfId="1" applyFill="1" applyBorder="1" applyAlignment="1">
      <alignment vertical="center" wrapText="1"/>
    </xf>
    <xf numFmtId="0" fontId="3" fillId="5" borderId="69" xfId="1" applyFill="1" applyBorder="1" applyAlignment="1">
      <alignment vertical="center" wrapText="1"/>
    </xf>
    <xf numFmtId="0" fontId="3" fillId="5" borderId="89" xfId="1" applyFill="1" applyBorder="1" applyAlignment="1">
      <alignment vertical="center" wrapText="1"/>
    </xf>
    <xf numFmtId="0" fontId="3" fillId="4" borderId="89" xfId="1" applyFill="1" applyBorder="1" applyAlignment="1">
      <alignment vertical="center" wrapText="1"/>
    </xf>
    <xf numFmtId="0" fontId="3" fillId="5" borderId="80" xfId="1" applyFill="1" applyBorder="1" applyAlignment="1">
      <alignment vertical="center" wrapText="1"/>
    </xf>
    <xf numFmtId="0" fontId="3" fillId="4" borderId="24" xfId="1" applyFill="1" applyBorder="1" applyAlignment="1">
      <alignment vertical="center" wrapText="1"/>
    </xf>
    <xf numFmtId="0" fontId="3" fillId="4" borderId="85" xfId="1" applyFill="1" applyBorder="1" applyAlignment="1">
      <alignment vertical="center" wrapText="1"/>
    </xf>
    <xf numFmtId="0" fontId="3" fillId="5" borderId="79" xfId="1" applyFill="1" applyBorder="1" applyAlignment="1">
      <alignment vertical="center" wrapText="1"/>
    </xf>
    <xf numFmtId="0" fontId="10" fillId="3" borderId="92" xfId="1" applyFont="1" applyFill="1" applyBorder="1" applyAlignment="1">
      <alignment vertical="center"/>
    </xf>
    <xf numFmtId="0" fontId="10" fillId="3" borderId="93" xfId="1" applyFont="1" applyFill="1" applyBorder="1" applyAlignment="1">
      <alignment vertical="center"/>
    </xf>
    <xf numFmtId="0" fontId="3" fillId="17" borderId="78" xfId="1" applyFill="1" applyBorder="1" applyAlignment="1">
      <alignment vertical="center" wrapText="1"/>
    </xf>
    <xf numFmtId="0" fontId="3" fillId="17" borderId="94" xfId="1" applyFill="1" applyBorder="1" applyAlignment="1">
      <alignment vertical="center" wrapText="1"/>
    </xf>
    <xf numFmtId="0" fontId="3" fillId="17" borderId="85" xfId="1" applyFill="1" applyBorder="1" applyAlignment="1">
      <alignment vertical="center" wrapText="1"/>
    </xf>
    <xf numFmtId="0" fontId="3" fillId="17" borderId="69" xfId="1" applyFill="1" applyBorder="1" applyAlignment="1">
      <alignment vertical="center" wrapText="1"/>
    </xf>
    <xf numFmtId="0" fontId="3" fillId="18" borderId="69" xfId="1" applyFill="1" applyBorder="1" applyAlignment="1">
      <alignment vertical="center" wrapText="1"/>
    </xf>
    <xf numFmtId="0" fontId="3" fillId="5" borderId="80" xfId="1" applyFill="1" applyBorder="1" applyAlignment="1">
      <alignment horizontal="left" vertical="top" wrapText="1"/>
    </xf>
    <xf numFmtId="0" fontId="3" fillId="4" borderId="69" xfId="1" applyFill="1" applyBorder="1" applyAlignment="1">
      <alignment horizontal="left" vertical="top" wrapText="1"/>
    </xf>
    <xf numFmtId="0" fontId="3" fillId="5" borderId="95" xfId="1" applyFill="1" applyBorder="1" applyAlignment="1">
      <alignment horizontal="left" vertical="top" wrapText="1"/>
    </xf>
    <xf numFmtId="0" fontId="3" fillId="18" borderId="89" xfId="1" applyFill="1" applyBorder="1" applyAlignment="1">
      <alignment vertical="center" wrapText="1"/>
    </xf>
    <xf numFmtId="0" fontId="3" fillId="5" borderId="82" xfId="1" applyFill="1" applyBorder="1" applyAlignment="1">
      <alignment horizontal="left" vertical="top" wrapText="1"/>
    </xf>
    <xf numFmtId="0" fontId="3" fillId="4" borderId="96" xfId="1" applyFill="1" applyBorder="1" applyAlignment="1">
      <alignment horizontal="left" vertical="top" wrapText="1"/>
    </xf>
    <xf numFmtId="0" fontId="3" fillId="4" borderId="97" xfId="1" applyFill="1" applyBorder="1" applyAlignment="1">
      <alignment horizontal="left" vertical="top" wrapText="1"/>
    </xf>
    <xf numFmtId="0" fontId="0" fillId="0" borderId="72" xfId="0" applyBorder="1"/>
    <xf numFmtId="0" fontId="3" fillId="17" borderId="98" xfId="1" applyFill="1" applyBorder="1" applyAlignment="1">
      <alignment vertical="center" wrapText="1"/>
    </xf>
    <xf numFmtId="0" fontId="3" fillId="17" borderId="91" xfId="1" applyFill="1" applyBorder="1" applyAlignment="1">
      <alignment vertical="center" wrapText="1"/>
    </xf>
    <xf numFmtId="0" fontId="3" fillId="5" borderId="97" xfId="1" applyFill="1" applyBorder="1" applyAlignment="1">
      <alignment vertical="center" wrapText="1"/>
    </xf>
    <xf numFmtId="0" fontId="3" fillId="4" borderId="98" xfId="1" applyFill="1" applyBorder="1" applyAlignment="1">
      <alignment vertical="center" wrapText="1"/>
    </xf>
    <xf numFmtId="0" fontId="3" fillId="5" borderId="99" xfId="1" applyFill="1" applyBorder="1" applyAlignment="1">
      <alignment vertical="center" wrapText="1"/>
    </xf>
    <xf numFmtId="0" fontId="3" fillId="4" borderId="94" xfId="1" applyFill="1" applyBorder="1" applyAlignment="1">
      <alignment vertical="center" wrapText="1"/>
    </xf>
    <xf numFmtId="0" fontId="3" fillId="5" borderId="95" xfId="1" applyFill="1" applyBorder="1" applyAlignment="1">
      <alignment vertical="center" wrapText="1"/>
    </xf>
    <xf numFmtId="0" fontId="3" fillId="5" borderId="90" xfId="1" applyFill="1" applyBorder="1" applyAlignment="1">
      <alignment vertical="center" wrapText="1"/>
    </xf>
    <xf numFmtId="0" fontId="3" fillId="5" borderId="69" xfId="1" applyFill="1" applyBorder="1" applyAlignment="1">
      <alignment horizontal="left" vertical="top" wrapText="1"/>
    </xf>
    <xf numFmtId="0" fontId="3" fillId="4" borderId="85" xfId="1" applyFill="1" applyBorder="1" applyAlignment="1">
      <alignment horizontal="left" vertical="top" wrapText="1"/>
    </xf>
    <xf numFmtId="0" fontId="3" fillId="4" borderId="94" xfId="1" applyFill="1" applyBorder="1" applyAlignment="1">
      <alignment horizontal="left" vertical="top" wrapText="1"/>
    </xf>
    <xf numFmtId="0" fontId="3" fillId="5" borderId="97" xfId="1" applyFill="1" applyBorder="1" applyAlignment="1">
      <alignment horizontal="left" vertical="top" wrapText="1"/>
    </xf>
    <xf numFmtId="0" fontId="3" fillId="5" borderId="94" xfId="1" applyFill="1" applyBorder="1" applyAlignment="1">
      <alignment horizontal="left" vertical="top" wrapText="1"/>
    </xf>
    <xf numFmtId="0" fontId="3" fillId="4" borderId="89" xfId="1" applyFill="1" applyBorder="1" applyAlignment="1">
      <alignment horizontal="left" vertical="top" wrapText="1"/>
    </xf>
    <xf numFmtId="0" fontId="3" fillId="5" borderId="89" xfId="1" applyFill="1" applyBorder="1" applyAlignment="1">
      <alignment horizontal="left" vertical="top" wrapText="1"/>
    </xf>
    <xf numFmtId="0" fontId="3" fillId="5" borderId="100" xfId="1" applyFill="1" applyBorder="1" applyAlignment="1">
      <alignment horizontal="left" vertical="top" wrapText="1"/>
    </xf>
    <xf numFmtId="0" fontId="3" fillId="4" borderId="100" xfId="1" applyFill="1" applyBorder="1" applyAlignment="1">
      <alignment vertical="center" wrapText="1"/>
    </xf>
    <xf numFmtId="0" fontId="20" fillId="4" borderId="70" xfId="1" applyFont="1" applyFill="1" applyBorder="1" applyAlignment="1">
      <alignment vertical="center" wrapText="1"/>
    </xf>
    <xf numFmtId="0" fontId="3" fillId="5" borderId="94" xfId="1" applyFill="1" applyBorder="1" applyAlignment="1">
      <alignment vertical="center" wrapText="1"/>
    </xf>
    <xf numFmtId="0" fontId="3" fillId="5" borderId="19" xfId="1" applyFill="1" applyBorder="1" applyAlignment="1">
      <alignment vertical="center" wrapText="1"/>
    </xf>
    <xf numFmtId="0" fontId="3" fillId="5" borderId="24" xfId="1" applyFill="1" applyBorder="1" applyAlignment="1">
      <alignment vertical="center" wrapText="1"/>
    </xf>
    <xf numFmtId="0" fontId="3" fillId="5" borderId="91" xfId="1" applyFill="1" applyBorder="1" applyAlignment="1">
      <alignment vertical="center" wrapText="1"/>
    </xf>
    <xf numFmtId="0" fontId="3" fillId="4" borderId="99" xfId="1" applyFill="1" applyBorder="1" applyAlignment="1">
      <alignment vertical="center" wrapText="1"/>
    </xf>
    <xf numFmtId="0" fontId="3" fillId="4" borderId="97" xfId="1" applyFill="1" applyBorder="1" applyAlignment="1">
      <alignment vertical="center" wrapText="1"/>
    </xf>
    <xf numFmtId="0" fontId="3" fillId="5" borderId="103" xfId="1" applyFill="1" applyBorder="1" applyAlignment="1">
      <alignment vertical="center" wrapText="1"/>
    </xf>
    <xf numFmtId="0" fontId="3" fillId="4" borderId="103" xfId="1" applyFill="1" applyBorder="1" applyAlignment="1">
      <alignment vertical="center" wrapText="1"/>
    </xf>
    <xf numFmtId="0" fontId="1" fillId="11" borderId="38" xfId="0" applyFont="1" applyFill="1" applyBorder="1" applyAlignment="1">
      <alignment horizontal="left" vertical="top"/>
    </xf>
    <xf numFmtId="0" fontId="26" fillId="0" borderId="0" xfId="0" applyFont="1"/>
    <xf numFmtId="0" fontId="0" fillId="10" borderId="0" xfId="0" applyFill="1" applyAlignment="1">
      <alignment horizontal="center" vertical="center"/>
    </xf>
    <xf numFmtId="0" fontId="0" fillId="0" borderId="39" xfId="0" applyBorder="1" applyAlignment="1">
      <alignment horizontal="center" vertical="center"/>
    </xf>
    <xf numFmtId="49" fontId="0" fillId="0" borderId="0" xfId="0" applyNumberFormat="1" applyAlignment="1">
      <alignment horizontal="center"/>
    </xf>
    <xf numFmtId="0" fontId="0" fillId="0" borderId="39" xfId="0" applyBorder="1" applyAlignment="1">
      <alignment horizontal="center"/>
    </xf>
    <xf numFmtId="0" fontId="20" fillId="5" borderId="104" xfId="1" applyFont="1" applyFill="1" applyBorder="1" applyAlignment="1">
      <alignment vertical="center" wrapText="1"/>
    </xf>
    <xf numFmtId="0" fontId="20" fillId="5" borderId="13" xfId="1" applyFont="1" applyFill="1" applyBorder="1" applyAlignment="1">
      <alignment vertical="center" wrapText="1"/>
    </xf>
    <xf numFmtId="0" fontId="20" fillId="4" borderId="105" xfId="1" applyFont="1" applyFill="1" applyBorder="1" applyAlignment="1">
      <alignment vertical="center" wrapText="1"/>
    </xf>
    <xf numFmtId="0" fontId="3" fillId="5" borderId="100" xfId="1" applyFill="1" applyBorder="1" applyAlignment="1">
      <alignment vertical="center" wrapText="1"/>
    </xf>
    <xf numFmtId="0" fontId="14" fillId="4" borderId="78" xfId="1" applyFont="1" applyFill="1" applyBorder="1" applyAlignment="1">
      <alignment vertical="center" wrapText="1"/>
    </xf>
    <xf numFmtId="0" fontId="14" fillId="5" borderId="78" xfId="1" applyFont="1" applyFill="1" applyBorder="1" applyAlignment="1">
      <alignment vertical="center" wrapText="1"/>
    </xf>
    <xf numFmtId="0" fontId="14" fillId="4" borderId="69" xfId="1" applyFont="1" applyFill="1" applyBorder="1" applyAlignment="1">
      <alignment vertical="center" wrapText="1"/>
    </xf>
    <xf numFmtId="0" fontId="14" fillId="5" borderId="89" xfId="1" applyFont="1" applyFill="1" applyBorder="1" applyAlignment="1">
      <alignment vertical="center" wrapText="1"/>
    </xf>
    <xf numFmtId="0" fontId="14" fillId="4" borderId="100" xfId="1" applyFont="1" applyFill="1" applyBorder="1" applyAlignment="1">
      <alignment vertical="center" wrapText="1"/>
    </xf>
    <xf numFmtId="0" fontId="14" fillId="5" borderId="85" xfId="1" applyFont="1" applyFill="1" applyBorder="1" applyAlignment="1">
      <alignment vertical="center" wrapText="1"/>
    </xf>
    <xf numFmtId="0" fontId="14" fillId="5" borderId="100" xfId="1" applyFont="1" applyFill="1" applyBorder="1" applyAlignment="1">
      <alignment vertical="center" wrapText="1"/>
    </xf>
    <xf numFmtId="0" fontId="14" fillId="4" borderId="85" xfId="1" applyFont="1" applyFill="1" applyBorder="1" applyAlignment="1">
      <alignment vertical="center" wrapText="1"/>
    </xf>
    <xf numFmtId="0" fontId="14" fillId="5" borderId="69" xfId="1" applyFont="1" applyFill="1" applyBorder="1" applyAlignment="1">
      <alignment vertical="center" wrapText="1"/>
    </xf>
    <xf numFmtId="0" fontId="1" fillId="11" borderId="38" xfId="0" applyFont="1" applyFill="1" applyBorder="1" applyAlignment="1">
      <alignment horizontal="center" vertical="top"/>
    </xf>
    <xf numFmtId="0" fontId="2" fillId="19" borderId="107" xfId="0" applyFont="1" applyFill="1" applyBorder="1" applyAlignment="1">
      <alignment horizontal="center"/>
    </xf>
    <xf numFmtId="0" fontId="2" fillId="19" borderId="38" xfId="0" applyFont="1" applyFill="1" applyBorder="1" applyAlignment="1">
      <alignment horizontal="center"/>
    </xf>
    <xf numFmtId="0" fontId="2" fillId="19" borderId="108" xfId="0" applyFont="1" applyFill="1" applyBorder="1" applyAlignment="1">
      <alignment horizontal="center"/>
    </xf>
    <xf numFmtId="0" fontId="1" fillId="11" borderId="0" xfId="0" applyFont="1" applyFill="1" applyAlignment="1">
      <alignment horizontal="left" vertical="top"/>
    </xf>
    <xf numFmtId="0" fontId="1" fillId="11" borderId="0" xfId="0" applyFont="1" applyFill="1" applyAlignment="1">
      <alignment horizontal="center" vertical="top"/>
    </xf>
    <xf numFmtId="0" fontId="1" fillId="11" borderId="39" xfId="0" applyFont="1" applyFill="1" applyBorder="1" applyAlignment="1">
      <alignment horizontal="center" vertical="top"/>
    </xf>
    <xf numFmtId="0" fontId="0" fillId="0" borderId="106" xfId="0" applyBorder="1" applyAlignment="1">
      <alignment horizontal="center"/>
    </xf>
    <xf numFmtId="0" fontId="0" fillId="0" borderId="72" xfId="0" applyBorder="1" applyAlignment="1">
      <alignment horizontal="center"/>
    </xf>
    <xf numFmtId="2" fontId="0" fillId="0" borderId="0" xfId="0" applyNumberFormat="1" applyAlignment="1">
      <alignment horizontal="center"/>
    </xf>
    <xf numFmtId="0" fontId="2" fillId="0" borderId="39" xfId="0" applyFont="1" applyBorder="1"/>
    <xf numFmtId="0" fontId="0" fillId="0" borderId="39" xfId="0" applyBorder="1"/>
    <xf numFmtId="2" fontId="0" fillId="0" borderId="39" xfId="0" applyNumberFormat="1" applyBorder="1" applyAlignment="1">
      <alignment horizontal="center"/>
    </xf>
    <xf numFmtId="0" fontId="0" fillId="0" borderId="109" xfId="0" applyBorder="1"/>
    <xf numFmtId="0" fontId="0" fillId="0" borderId="109" xfId="0" applyBorder="1" applyAlignment="1">
      <alignment horizontal="center"/>
    </xf>
    <xf numFmtId="165" fontId="0" fillId="0" borderId="106" xfId="0" applyNumberFormat="1" applyBorder="1" applyAlignment="1">
      <alignment horizontal="center"/>
    </xf>
    <xf numFmtId="165" fontId="0" fillId="0" borderId="72" xfId="0" applyNumberFormat="1" applyBorder="1" applyAlignment="1">
      <alignment horizontal="center"/>
    </xf>
    <xf numFmtId="165" fontId="0" fillId="0" borderId="109" xfId="0" applyNumberFormat="1" applyBorder="1" applyAlignment="1">
      <alignment horizontal="center"/>
    </xf>
    <xf numFmtId="2" fontId="0" fillId="0" borderId="106" xfId="0" applyNumberFormat="1" applyBorder="1" applyAlignment="1">
      <alignment horizontal="center" vertical="center"/>
    </xf>
    <xf numFmtId="2" fontId="0" fillId="0" borderId="72" xfId="0" applyNumberFormat="1" applyBorder="1" applyAlignment="1">
      <alignment horizontal="center" vertical="center"/>
    </xf>
    <xf numFmtId="0" fontId="0" fillId="0" borderId="110" xfId="0" applyBorder="1"/>
    <xf numFmtId="2" fontId="0" fillId="0" borderId="0" xfId="0" applyNumberFormat="1" applyAlignment="1">
      <alignment horizontal="center" vertical="center"/>
    </xf>
    <xf numFmtId="0" fontId="2" fillId="0" borderId="0" xfId="0" applyFont="1" applyAlignment="1">
      <alignment horizontal="left" vertical="top"/>
    </xf>
    <xf numFmtId="0" fontId="3" fillId="17" borderId="100" xfId="1" applyFill="1" applyBorder="1" applyAlignment="1">
      <alignment vertical="center" wrapText="1"/>
    </xf>
    <xf numFmtId="0" fontId="2" fillId="0" borderId="0" xfId="0" applyFont="1" applyAlignment="1">
      <alignment horizontal="center"/>
    </xf>
    <xf numFmtId="0" fontId="23" fillId="0" borderId="0" xfId="0" applyFont="1" applyAlignment="1">
      <alignment horizontal="center"/>
    </xf>
    <xf numFmtId="0" fontId="8" fillId="13" borderId="111" xfId="1" applyFont="1" applyFill="1" applyBorder="1" applyAlignment="1">
      <alignment horizontal="right" wrapText="1"/>
    </xf>
    <xf numFmtId="0" fontId="11" fillId="3" borderId="16" xfId="1" applyFont="1" applyFill="1" applyBorder="1" applyAlignment="1">
      <alignment horizontal="center" vertical="center" wrapText="1"/>
    </xf>
    <xf numFmtId="0" fontId="11" fillId="3" borderId="115" xfId="1" applyFont="1" applyFill="1" applyBorder="1" applyAlignment="1">
      <alignment horizontal="center" vertical="center" wrapText="1"/>
    </xf>
    <xf numFmtId="0" fontId="11" fillId="3" borderId="29" xfId="1" applyFont="1" applyFill="1" applyBorder="1" applyAlignment="1">
      <alignment horizontal="center" vertical="center" wrapText="1"/>
    </xf>
    <xf numFmtId="0" fontId="11" fillId="3" borderId="25" xfId="1" applyFont="1" applyFill="1" applyBorder="1" applyAlignment="1">
      <alignment horizontal="center" vertical="center" wrapText="1"/>
    </xf>
    <xf numFmtId="0" fontId="11" fillId="3" borderId="118" xfId="1" applyFont="1" applyFill="1" applyBorder="1" applyAlignment="1">
      <alignment horizontal="center" vertical="center" wrapText="1"/>
    </xf>
    <xf numFmtId="0" fontId="11" fillId="3" borderId="119" xfId="1" applyFont="1" applyFill="1" applyBorder="1" applyAlignment="1">
      <alignment horizontal="center" vertical="center" wrapText="1"/>
    </xf>
    <xf numFmtId="0" fontId="11" fillId="3" borderId="0" xfId="1" applyFont="1" applyFill="1" applyAlignment="1">
      <alignment horizontal="center" vertical="center" wrapText="1"/>
    </xf>
    <xf numFmtId="0" fontId="3" fillId="0" borderId="58" xfId="1" applyBorder="1" applyAlignment="1">
      <alignment horizontal="left" vertical="center" wrapText="1"/>
    </xf>
    <xf numFmtId="0" fontId="3" fillId="20" borderId="120" xfId="1" applyFill="1" applyBorder="1" applyAlignment="1">
      <alignment horizontal="center" vertical="center" wrapText="1"/>
    </xf>
    <xf numFmtId="0" fontId="3" fillId="0" borderId="121" xfId="1" applyBorder="1" applyAlignment="1">
      <alignment horizontal="left" vertical="center" wrapText="1"/>
    </xf>
    <xf numFmtId="0" fontId="3" fillId="0" borderId="122" xfId="1" applyBorder="1" applyAlignment="1">
      <alignment horizontal="left" vertical="center" wrapText="1"/>
    </xf>
    <xf numFmtId="0" fontId="3" fillId="0" borderId="58" xfId="1" applyBorder="1" applyAlignment="1">
      <alignment horizontal="center" vertical="center" wrapText="1"/>
    </xf>
    <xf numFmtId="164" fontId="3" fillId="0" borderId="49" xfId="2" applyNumberFormat="1" applyFont="1" applyFill="1" applyBorder="1" applyAlignment="1">
      <alignment vertical="center" wrapText="1"/>
    </xf>
    <xf numFmtId="0" fontId="3" fillId="0" borderId="59" xfId="1" applyBorder="1" applyAlignment="1">
      <alignment horizontal="center" vertical="center" wrapText="1"/>
    </xf>
    <xf numFmtId="0" fontId="3" fillId="0" borderId="49" xfId="1" applyBorder="1" applyAlignment="1">
      <alignment horizontal="left" vertical="center" wrapText="1"/>
    </xf>
    <xf numFmtId="0" fontId="3" fillId="20" borderId="123" xfId="1" applyFill="1" applyBorder="1" applyAlignment="1">
      <alignment horizontal="center" vertical="center" wrapText="1"/>
    </xf>
    <xf numFmtId="0" fontId="3" fillId="0" borderId="124" xfId="1" applyBorder="1" applyAlignment="1">
      <alignment horizontal="left" vertical="center" wrapText="1"/>
    </xf>
    <xf numFmtId="0" fontId="3" fillId="0" borderId="125" xfId="1" applyBorder="1" applyAlignment="1">
      <alignment horizontal="left" vertical="center" wrapText="1"/>
    </xf>
    <xf numFmtId="0" fontId="3" fillId="20" borderId="49" xfId="1" applyFill="1" applyBorder="1" applyAlignment="1">
      <alignment horizontal="center" vertical="center" wrapText="1"/>
    </xf>
    <xf numFmtId="0" fontId="3" fillId="0" borderId="49" xfId="1" applyBorder="1" applyAlignment="1">
      <alignment horizontal="center" vertical="center" wrapText="1"/>
    </xf>
    <xf numFmtId="0" fontId="3" fillId="0" borderId="61" xfId="1" applyBorder="1" applyAlignment="1">
      <alignment horizontal="center" vertical="center" wrapText="1"/>
    </xf>
    <xf numFmtId="0" fontId="3" fillId="0" borderId="126" xfId="1" applyBorder="1" applyAlignment="1">
      <alignment horizontal="left" vertical="center" wrapText="1"/>
    </xf>
    <xf numFmtId="0" fontId="3" fillId="20" borderId="127" xfId="1" applyFill="1" applyBorder="1" applyAlignment="1">
      <alignment horizontal="center" vertical="center" wrapText="1"/>
    </xf>
    <xf numFmtId="0" fontId="3" fillId="0" borderId="128" xfId="1" applyBorder="1" applyAlignment="1">
      <alignment horizontal="left" vertical="center" wrapText="1"/>
    </xf>
    <xf numFmtId="0" fontId="3" fillId="0" borderId="129" xfId="1" applyBorder="1" applyAlignment="1">
      <alignment horizontal="left" vertical="center" wrapText="1"/>
    </xf>
    <xf numFmtId="0" fontId="3" fillId="20" borderId="126" xfId="1" applyFill="1" applyBorder="1" applyAlignment="1">
      <alignment horizontal="center" vertical="center" wrapText="1"/>
    </xf>
    <xf numFmtId="0" fontId="3" fillId="0" borderId="126" xfId="1" applyBorder="1" applyAlignment="1">
      <alignment vertical="center" wrapText="1"/>
    </xf>
    <xf numFmtId="0" fontId="3" fillId="0" borderId="126" xfId="1" applyBorder="1" applyAlignment="1">
      <alignment horizontal="center" vertical="center" wrapText="1"/>
    </xf>
    <xf numFmtId="164" fontId="3" fillId="0" borderId="126" xfId="2" applyNumberFormat="1" applyFont="1" applyFill="1" applyBorder="1" applyAlignment="1">
      <alignment vertical="center" wrapText="1"/>
    </xf>
    <xf numFmtId="0" fontId="3" fillId="0" borderId="130" xfId="1" applyBorder="1" applyAlignment="1">
      <alignment horizontal="center" vertical="center" wrapText="1"/>
    </xf>
    <xf numFmtId="0" fontId="3" fillId="0" borderId="131" xfId="1" applyBorder="1" applyAlignment="1">
      <alignment horizontal="left" vertical="center" wrapText="1"/>
    </xf>
    <xf numFmtId="0" fontId="3" fillId="5" borderId="0" xfId="1" applyFill="1" applyAlignment="1">
      <alignment horizontal="left" vertical="center" wrapText="1"/>
    </xf>
    <xf numFmtId="0" fontId="11" fillId="3" borderId="132" xfId="1" applyFont="1" applyFill="1" applyBorder="1" applyAlignment="1">
      <alignment horizontal="center" vertical="center" wrapText="1"/>
    </xf>
    <xf numFmtId="0" fontId="3" fillId="4" borderId="101" xfId="1" applyFill="1" applyBorder="1" applyAlignment="1">
      <alignment horizontal="center" vertical="center" wrapText="1"/>
    </xf>
    <xf numFmtId="0" fontId="3" fillId="5" borderId="102" xfId="1" applyFill="1" applyBorder="1" applyAlignment="1">
      <alignment horizontal="center" vertical="center" wrapText="1"/>
    </xf>
    <xf numFmtId="0" fontId="3" fillId="4" borderId="102" xfId="1" applyFill="1" applyBorder="1" applyAlignment="1">
      <alignment horizontal="center" vertical="center" wrapText="1"/>
    </xf>
    <xf numFmtId="0" fontId="3" fillId="5" borderId="133" xfId="1" applyFill="1" applyBorder="1" applyAlignment="1">
      <alignment horizontal="center" vertical="center" wrapText="1"/>
    </xf>
    <xf numFmtId="0" fontId="3" fillId="5" borderId="109" xfId="1" applyFill="1" applyBorder="1" applyAlignment="1">
      <alignment horizontal="left" vertical="center" wrapText="1"/>
    </xf>
    <xf numFmtId="0" fontId="29" fillId="0" borderId="0" xfId="0" applyFont="1"/>
    <xf numFmtId="0" fontId="30" fillId="0" borderId="0" xfId="0" applyFont="1"/>
    <xf numFmtId="0" fontId="17" fillId="15" borderId="65" xfId="1" applyFont="1" applyFill="1" applyBorder="1" applyAlignment="1">
      <alignment horizontal="center"/>
    </xf>
    <xf numFmtId="164" fontId="3" fillId="16" borderId="65" xfId="2" applyNumberFormat="1" applyFont="1" applyFill="1" applyBorder="1"/>
    <xf numFmtId="164" fontId="3" fillId="0" borderId="0" xfId="2" applyNumberFormat="1" applyFont="1" applyFill="1" applyBorder="1"/>
    <xf numFmtId="164" fontId="3" fillId="16" borderId="0" xfId="2" applyNumberFormat="1" applyFont="1" applyFill="1" applyBorder="1"/>
    <xf numFmtId="164" fontId="3" fillId="0" borderId="66" xfId="2" applyNumberFormat="1" applyFont="1" applyFill="1" applyBorder="1"/>
    <xf numFmtId="0" fontId="31" fillId="0" borderId="0" xfId="0" applyFont="1" applyAlignment="1">
      <alignment horizontal="center" vertical="center"/>
    </xf>
    <xf numFmtId="0" fontId="28" fillId="0" borderId="0" xfId="0" applyFont="1" applyAlignment="1">
      <alignment horizontal="center" vertical="center"/>
    </xf>
    <xf numFmtId="164" fontId="28" fillId="0" borderId="0" xfId="2" applyNumberFormat="1" applyFont="1" applyFill="1" applyBorder="1" applyAlignment="1">
      <alignment horizontal="center" vertical="center"/>
    </xf>
    <xf numFmtId="2" fontId="28" fillId="0" borderId="0" xfId="0" applyNumberFormat="1" applyFont="1" applyAlignment="1">
      <alignment horizontal="center" vertical="center"/>
    </xf>
    <xf numFmtId="0" fontId="17" fillId="15" borderId="190" xfId="1" applyFont="1" applyFill="1" applyBorder="1"/>
    <xf numFmtId="1" fontId="3" fillId="0" borderId="0" xfId="1" applyNumberFormat="1" applyAlignment="1">
      <alignment horizontal="center"/>
    </xf>
    <xf numFmtId="1" fontId="3" fillId="0" borderId="66" xfId="1" applyNumberFormat="1" applyBorder="1" applyAlignment="1">
      <alignment horizontal="center"/>
    </xf>
    <xf numFmtId="0" fontId="22" fillId="3" borderId="41" xfId="1" applyFont="1" applyFill="1" applyBorder="1" applyAlignment="1">
      <alignment horizontal="left" vertical="center"/>
    </xf>
    <xf numFmtId="0" fontId="11" fillId="7" borderId="31" xfId="1" applyFont="1" applyFill="1" applyBorder="1" applyAlignment="1">
      <alignment vertical="center"/>
    </xf>
    <xf numFmtId="0" fontId="21" fillId="4" borderId="32" xfId="1" applyFont="1" applyFill="1" applyBorder="1" applyAlignment="1">
      <alignment vertical="center" wrapText="1"/>
    </xf>
    <xf numFmtId="0" fontId="21" fillId="5" borderId="33" xfId="1" applyFont="1" applyFill="1" applyBorder="1" applyAlignment="1">
      <alignment vertical="center" wrapText="1"/>
    </xf>
    <xf numFmtId="0" fontId="17" fillId="15" borderId="67" xfId="1" applyFont="1" applyFill="1" applyBorder="1" applyAlignment="1">
      <alignment wrapText="1"/>
    </xf>
    <xf numFmtId="0" fontId="16" fillId="9" borderId="35" xfId="1" applyFont="1" applyFill="1" applyBorder="1" applyAlignment="1">
      <alignment horizontal="left" vertical="center" wrapText="1"/>
    </xf>
    <xf numFmtId="0" fontId="16" fillId="0" borderId="35" xfId="1" applyFont="1" applyBorder="1" applyAlignment="1">
      <alignment horizontal="left" vertical="center" wrapText="1"/>
    </xf>
    <xf numFmtId="0" fontId="16" fillId="6" borderId="13" xfId="1" applyFont="1" applyFill="1" applyBorder="1"/>
    <xf numFmtId="0" fontId="16" fillId="6" borderId="22" xfId="1" applyFont="1" applyFill="1" applyBorder="1"/>
    <xf numFmtId="0" fontId="10" fillId="3" borderId="9" xfId="1" applyFont="1" applyFill="1" applyBorder="1" applyAlignment="1">
      <alignment horizontal="center" vertical="center"/>
    </xf>
    <xf numFmtId="0" fontId="10" fillId="3" borderId="34" xfId="1" applyFont="1" applyFill="1" applyBorder="1" applyAlignment="1">
      <alignment horizontal="center" vertical="center" wrapText="1"/>
    </xf>
    <xf numFmtId="0" fontId="9" fillId="3" borderId="14" xfId="1" applyFont="1" applyFill="1" applyBorder="1" applyAlignment="1">
      <alignment vertical="center"/>
    </xf>
    <xf numFmtId="0" fontId="9" fillId="3" borderId="15" xfId="1" applyFont="1" applyFill="1" applyBorder="1" applyAlignment="1">
      <alignment vertical="center"/>
    </xf>
    <xf numFmtId="0" fontId="0" fillId="0" borderId="0" xfId="0" applyAlignment="1">
      <alignment vertical="center"/>
    </xf>
    <xf numFmtId="0" fontId="16" fillId="5" borderId="80" xfId="1" applyFont="1" applyFill="1" applyBorder="1" applyAlignment="1">
      <alignment vertical="center" wrapText="1"/>
    </xf>
    <xf numFmtId="0" fontId="28" fillId="0" borderId="24" xfId="0" applyFont="1" applyBorder="1" applyAlignment="1">
      <alignment horizontal="left" vertical="center" wrapText="1"/>
    </xf>
    <xf numFmtId="0" fontId="3" fillId="0" borderId="0" xfId="1" applyAlignment="1">
      <alignment vertical="center" wrapText="1"/>
    </xf>
    <xf numFmtId="0" fontId="3" fillId="17" borderId="89" xfId="1" applyFill="1" applyBorder="1" applyAlignment="1">
      <alignment vertical="center" wrapText="1"/>
    </xf>
    <xf numFmtId="0" fontId="1" fillId="11" borderId="64" xfId="0" applyFont="1" applyFill="1" applyBorder="1" applyAlignment="1">
      <alignment horizontal="left" vertical="top" wrapText="1"/>
    </xf>
    <xf numFmtId="0" fontId="0" fillId="10" borderId="64" xfId="0" applyFill="1" applyBorder="1" applyAlignment="1">
      <alignment horizontal="left" vertical="top" wrapText="1"/>
    </xf>
    <xf numFmtId="0" fontId="0" fillId="10" borderId="0" xfId="0" applyFill="1" applyAlignment="1">
      <alignment horizontal="left" vertical="top" wrapText="1"/>
    </xf>
    <xf numFmtId="0" fontId="0" fillId="10" borderId="64" xfId="0" applyFill="1" applyBorder="1" applyAlignment="1">
      <alignment vertical="center"/>
    </xf>
    <xf numFmtId="0" fontId="0" fillId="10" borderId="0" xfId="0" applyFill="1" applyAlignment="1">
      <alignment vertical="center"/>
    </xf>
    <xf numFmtId="0" fontId="0" fillId="10" borderId="39" xfId="0" applyFill="1" applyBorder="1" applyAlignment="1">
      <alignment vertical="center"/>
    </xf>
    <xf numFmtId="0" fontId="1" fillId="11" borderId="64" xfId="0" applyFont="1" applyFill="1" applyBorder="1" applyAlignment="1">
      <alignment horizontal="left" vertical="top"/>
    </xf>
    <xf numFmtId="0" fontId="0" fillId="10" borderId="64" xfId="0" applyFill="1" applyBorder="1" applyAlignment="1">
      <alignment horizontal="left" vertical="top"/>
    </xf>
    <xf numFmtId="0" fontId="0" fillId="10" borderId="64" xfId="0" applyFill="1" applyBorder="1" applyAlignment="1">
      <alignment horizontal="center" vertical="top" wrapText="1"/>
    </xf>
    <xf numFmtId="0" fontId="0" fillId="0" borderId="0" xfId="0" applyAlignment="1">
      <alignment horizontal="center" vertical="top" wrapText="1"/>
    </xf>
    <xf numFmtId="0" fontId="0" fillId="10" borderId="0" xfId="0" applyFill="1" applyAlignment="1">
      <alignment horizontal="center" vertical="top" wrapText="1"/>
    </xf>
    <xf numFmtId="0" fontId="0" fillId="0" borderId="39" xfId="0" applyBorder="1" applyAlignment="1">
      <alignment horizontal="left" vertical="top" wrapText="1"/>
    </xf>
    <xf numFmtId="0" fontId="0" fillId="0" borderId="39" xfId="0" applyBorder="1" applyAlignment="1">
      <alignment horizontal="center" vertical="top" wrapText="1"/>
    </xf>
    <xf numFmtId="0" fontId="35" fillId="22" borderId="40" xfId="1" applyFont="1" applyFill="1" applyBorder="1" applyAlignment="1">
      <alignment horizontal="center" vertical="center"/>
    </xf>
    <xf numFmtId="0" fontId="36" fillId="8" borderId="9" xfId="1" applyFont="1" applyFill="1" applyBorder="1" applyAlignment="1">
      <alignment vertical="center"/>
    </xf>
    <xf numFmtId="0" fontId="3" fillId="0" borderId="22" xfId="1" applyBorder="1"/>
    <xf numFmtId="0" fontId="3" fillId="23" borderId="193" xfId="0" applyFont="1" applyFill="1" applyBorder="1" applyAlignment="1">
      <alignment horizontal="center" vertical="center" wrapText="1"/>
    </xf>
    <xf numFmtId="0" fontId="3" fillId="23" borderId="111" xfId="0" applyFont="1" applyFill="1" applyBorder="1" applyAlignment="1">
      <alignment horizontal="center" vertical="center" wrapText="1"/>
    </xf>
    <xf numFmtId="0" fontId="3" fillId="23" borderId="198" xfId="0" applyFont="1" applyFill="1" applyBorder="1" applyAlignment="1">
      <alignment horizontal="center" vertical="center" wrapText="1"/>
    </xf>
    <xf numFmtId="0" fontId="36" fillId="25" borderId="37" xfId="0" applyFont="1" applyFill="1" applyBorder="1" applyAlignment="1">
      <alignment horizontal="center" vertical="center" wrapText="1"/>
    </xf>
    <xf numFmtId="0" fontId="36" fillId="25" borderId="26" xfId="0" applyFont="1" applyFill="1" applyBorder="1" applyAlignment="1">
      <alignment horizontal="center" vertical="center" wrapText="1"/>
    </xf>
    <xf numFmtId="0" fontId="0" fillId="6" borderId="25" xfId="0" applyFill="1" applyBorder="1"/>
    <xf numFmtId="0" fontId="0" fillId="6" borderId="24" xfId="0" applyFill="1" applyBorder="1"/>
    <xf numFmtId="0" fontId="37" fillId="0" borderId="191" xfId="0" applyFont="1" applyBorder="1" applyAlignment="1">
      <alignment horizontal="right" vertical="center" wrapText="1"/>
    </xf>
    <xf numFmtId="0" fontId="37" fillId="0" borderId="28" xfId="0" applyFont="1" applyBorder="1" applyAlignment="1">
      <alignment horizontal="left" vertical="center" wrapText="1"/>
    </xf>
    <xf numFmtId="0" fontId="37" fillId="0" borderId="193" xfId="0" applyFont="1" applyBorder="1" applyAlignment="1">
      <alignment horizontal="left" vertical="center" wrapText="1"/>
    </xf>
    <xf numFmtId="0" fontId="37" fillId="0" borderId="195" xfId="0" applyFont="1" applyBorder="1" applyAlignment="1">
      <alignment horizontal="right" vertical="center" wrapText="1"/>
    </xf>
    <xf numFmtId="0" fontId="37" fillId="0" borderId="55" xfId="0" applyFont="1" applyBorder="1" applyAlignment="1">
      <alignment horizontal="left" vertical="center" wrapText="1"/>
    </xf>
    <xf numFmtId="0" fontId="37" fillId="0" borderId="111" xfId="0" applyFont="1" applyBorder="1" applyAlignment="1">
      <alignment horizontal="left" vertical="center" wrapText="1"/>
    </xf>
    <xf numFmtId="0" fontId="37" fillId="0" borderId="197" xfId="0" applyFont="1" applyBorder="1" applyAlignment="1">
      <alignment horizontal="right" vertical="center" wrapText="1"/>
    </xf>
    <xf numFmtId="0" fontId="37" fillId="0" borderId="15" xfId="0" applyFont="1" applyBorder="1" applyAlignment="1">
      <alignment horizontal="left" vertical="center" wrapText="1"/>
    </xf>
    <xf numFmtId="0" fontId="37" fillId="0" borderId="198" xfId="0" applyFont="1" applyBorder="1" applyAlignment="1">
      <alignment horizontal="left" vertical="center" wrapText="1"/>
    </xf>
    <xf numFmtId="167" fontId="37" fillId="0" borderId="195" xfId="3" applyNumberFormat="1" applyFont="1" applyBorder="1" applyAlignment="1">
      <alignment horizontal="left" vertical="center" wrapText="1"/>
    </xf>
    <xf numFmtId="167" fontId="37" fillId="0" borderId="55" xfId="3" applyNumberFormat="1" applyFont="1" applyBorder="1" applyAlignment="1">
      <alignment horizontal="left" vertical="center" wrapText="1"/>
    </xf>
    <xf numFmtId="167" fontId="37" fillId="0" borderId="111" xfId="3" applyNumberFormat="1" applyFont="1" applyBorder="1" applyAlignment="1">
      <alignment horizontal="left" vertical="center" wrapText="1"/>
    </xf>
    <xf numFmtId="167" fontId="37" fillId="0" borderId="197" xfId="3" applyNumberFormat="1" applyFont="1" applyBorder="1" applyAlignment="1">
      <alignment horizontal="left" vertical="center" wrapText="1"/>
    </xf>
    <xf numFmtId="167" fontId="37" fillId="0" borderId="15" xfId="3" applyNumberFormat="1" applyFont="1" applyBorder="1" applyAlignment="1">
      <alignment horizontal="left" vertical="center" wrapText="1"/>
    </xf>
    <xf numFmtId="167" fontId="37" fillId="0" borderId="198" xfId="3" applyNumberFormat="1" applyFont="1" applyBorder="1" applyAlignment="1">
      <alignment horizontal="left" vertical="center" wrapText="1"/>
    </xf>
    <xf numFmtId="0" fontId="36" fillId="25" borderId="1" xfId="0" applyFont="1" applyFill="1" applyBorder="1" applyAlignment="1">
      <alignment horizontal="center" vertical="center" wrapText="1"/>
    </xf>
    <xf numFmtId="44" fontId="3" fillId="16" borderId="65" xfId="2" applyFont="1" applyFill="1" applyBorder="1"/>
    <xf numFmtId="44" fontId="3" fillId="0" borderId="0" xfId="2" applyFont="1" applyFill="1" applyBorder="1"/>
    <xf numFmtId="44" fontId="3" fillId="16" borderId="0" xfId="2" applyFont="1" applyFill="1" applyBorder="1"/>
    <xf numFmtId="44" fontId="3" fillId="0" borderId="66" xfId="2" applyFont="1" applyFill="1" applyBorder="1"/>
    <xf numFmtId="0" fontId="1" fillId="26" borderId="0" xfId="0" applyFont="1" applyFill="1"/>
    <xf numFmtId="0" fontId="1" fillId="26" borderId="200" xfId="0" applyFont="1" applyFill="1" applyBorder="1"/>
    <xf numFmtId="0" fontId="1" fillId="26" borderId="200" xfId="0" applyFont="1" applyFill="1" applyBorder="1" applyAlignment="1">
      <alignment horizontal="center" vertical="center" wrapText="1"/>
    </xf>
    <xf numFmtId="0" fontId="0" fillId="27" borderId="201" xfId="0" applyFill="1" applyBorder="1"/>
    <xf numFmtId="0" fontId="0" fillId="27" borderId="202" xfId="0" applyFill="1" applyBorder="1"/>
    <xf numFmtId="0" fontId="0" fillId="27" borderId="202" xfId="0" applyFill="1" applyBorder="1" applyAlignment="1">
      <alignment horizontal="center"/>
    </xf>
    <xf numFmtId="0" fontId="0" fillId="28" borderId="203" xfId="0" applyFill="1" applyBorder="1"/>
    <xf numFmtId="0" fontId="0" fillId="28" borderId="204" xfId="0" applyFill="1" applyBorder="1"/>
    <xf numFmtId="0" fontId="0" fillId="28" borderId="204" xfId="0" applyFill="1" applyBorder="1" applyAlignment="1">
      <alignment horizontal="center"/>
    </xf>
    <xf numFmtId="0" fontId="0" fillId="27" borderId="203" xfId="0" applyFill="1" applyBorder="1"/>
    <xf numFmtId="0" fontId="0" fillId="27" borderId="204" xfId="0" applyFill="1" applyBorder="1"/>
    <xf numFmtId="0" fontId="0" fillId="27" borderId="204" xfId="0" applyFill="1" applyBorder="1" applyAlignment="1">
      <alignment horizontal="center"/>
    </xf>
    <xf numFmtId="0" fontId="40" fillId="27" borderId="202" xfId="0" applyFont="1" applyFill="1" applyBorder="1" applyAlignment="1">
      <alignment horizontal="center"/>
    </xf>
    <xf numFmtId="0" fontId="40" fillId="28" borderId="204" xfId="0" applyFont="1" applyFill="1" applyBorder="1" applyAlignment="1">
      <alignment horizontal="center"/>
    </xf>
    <xf numFmtId="0" fontId="40" fillId="27" borderId="204" xfId="0" applyFont="1" applyFill="1" applyBorder="1" applyAlignment="1">
      <alignment horizontal="center"/>
    </xf>
    <xf numFmtId="0" fontId="1" fillId="26" borderId="0" xfId="0" applyFont="1" applyFill="1" applyAlignment="1">
      <alignment wrapText="1"/>
    </xf>
    <xf numFmtId="0" fontId="1" fillId="26" borderId="200" xfId="0" applyFont="1" applyFill="1" applyBorder="1" applyAlignment="1">
      <alignment wrapText="1"/>
    </xf>
    <xf numFmtId="0" fontId="41" fillId="27" borderId="202" xfId="0" applyFont="1" applyFill="1" applyBorder="1" applyAlignment="1">
      <alignment horizontal="center"/>
    </xf>
    <xf numFmtId="0" fontId="41" fillId="28" borderId="204" xfId="0" applyFont="1" applyFill="1" applyBorder="1" applyAlignment="1">
      <alignment horizontal="center"/>
    </xf>
    <xf numFmtId="0" fontId="41" fillId="27" borderId="204" xfId="0" applyFont="1" applyFill="1" applyBorder="1" applyAlignment="1">
      <alignment horizontal="center"/>
    </xf>
    <xf numFmtId="0" fontId="1" fillId="11" borderId="38" xfId="0" applyFont="1" applyFill="1" applyBorder="1" applyAlignment="1">
      <alignment horizontal="left" vertical="top" wrapText="1"/>
    </xf>
    <xf numFmtId="0" fontId="1" fillId="11" borderId="200" xfId="0" applyFont="1" applyFill="1" applyBorder="1"/>
    <xf numFmtId="0" fontId="1" fillId="11" borderId="200" xfId="0" applyFont="1" applyFill="1" applyBorder="1" applyAlignment="1">
      <alignment horizontal="center"/>
    </xf>
    <xf numFmtId="0" fontId="0" fillId="29" borderId="202" xfId="0" applyFill="1" applyBorder="1"/>
    <xf numFmtId="0" fontId="0" fillId="29" borderId="202" xfId="0" applyFill="1" applyBorder="1" applyAlignment="1">
      <alignment horizontal="center"/>
    </xf>
    <xf numFmtId="0" fontId="0" fillId="30" borderId="204" xfId="0" applyFill="1" applyBorder="1"/>
    <xf numFmtId="0" fontId="0" fillId="30" borderId="204" xfId="0" applyFill="1" applyBorder="1" applyAlignment="1">
      <alignment horizontal="center"/>
    </xf>
    <xf numFmtId="0" fontId="0" fillId="29" borderId="204" xfId="0" applyFill="1" applyBorder="1"/>
    <xf numFmtId="0" fontId="0" fillId="29" borderId="204" xfId="0" applyFill="1" applyBorder="1" applyAlignment="1">
      <alignment horizontal="center"/>
    </xf>
    <xf numFmtId="0" fontId="1" fillId="11" borderId="0" xfId="0" applyFont="1" applyFill="1" applyAlignment="1">
      <alignment horizontal="center"/>
    </xf>
    <xf numFmtId="0" fontId="0" fillId="29" borderId="201" xfId="0" applyFill="1" applyBorder="1" applyAlignment="1">
      <alignment horizontal="center"/>
    </xf>
    <xf numFmtId="0" fontId="0" fillId="30" borderId="203" xfId="0" applyFill="1" applyBorder="1" applyAlignment="1">
      <alignment horizontal="center"/>
    </xf>
    <xf numFmtId="0" fontId="0" fillId="29" borderId="203" xfId="0" applyFill="1" applyBorder="1" applyAlignment="1">
      <alignment horizontal="center"/>
    </xf>
    <xf numFmtId="0" fontId="0" fillId="10" borderId="0" xfId="0" applyFill="1"/>
    <xf numFmtId="0" fontId="0" fillId="10" borderId="39" xfId="0" applyFill="1" applyBorder="1"/>
    <xf numFmtId="0" fontId="1" fillId="26" borderId="64" xfId="0" applyFont="1" applyFill="1" applyBorder="1"/>
    <xf numFmtId="0" fontId="0" fillId="10" borderId="64" xfId="0" applyFill="1" applyBorder="1"/>
    <xf numFmtId="0" fontId="1" fillId="26" borderId="64" xfId="0" applyFont="1" applyFill="1" applyBorder="1" applyAlignment="1">
      <alignment horizontal="center"/>
    </xf>
    <xf numFmtId="0" fontId="0" fillId="10" borderId="64" xfId="0" applyFill="1" applyBorder="1" applyAlignment="1">
      <alignment horizontal="center"/>
    </xf>
    <xf numFmtId="0" fontId="0" fillId="10" borderId="39" xfId="0" applyFill="1" applyBorder="1" applyAlignment="1">
      <alignment horizontal="center"/>
    </xf>
    <xf numFmtId="0" fontId="1" fillId="11" borderId="200" xfId="0" applyFont="1" applyFill="1" applyBorder="1" applyAlignment="1">
      <alignment horizontal="left"/>
    </xf>
    <xf numFmtId="0" fontId="0" fillId="29" borderId="202" xfId="0" applyFill="1" applyBorder="1" applyAlignment="1">
      <alignment horizontal="left"/>
    </xf>
    <xf numFmtId="0" fontId="0" fillId="30" borderId="204" xfId="0" applyFill="1" applyBorder="1" applyAlignment="1">
      <alignment horizontal="left"/>
    </xf>
    <xf numFmtId="0" fontId="0" fillId="29" borderId="204" xfId="0" applyFill="1" applyBorder="1" applyAlignment="1">
      <alignment horizontal="left"/>
    </xf>
    <xf numFmtId="0" fontId="3" fillId="0" borderId="50" xfId="1" applyBorder="1" applyAlignment="1">
      <alignment horizontal="center" vertical="center"/>
    </xf>
    <xf numFmtId="0" fontId="3" fillId="0" borderId="49" xfId="1" applyBorder="1" applyAlignment="1">
      <alignment horizontal="left" vertical="center"/>
    </xf>
    <xf numFmtId="0" fontId="0" fillId="0" borderId="0" xfId="0" pivotButton="1"/>
    <xf numFmtId="0" fontId="0" fillId="0" borderId="0" xfId="0" applyAlignment="1">
      <alignment horizontal="left"/>
    </xf>
    <xf numFmtId="0" fontId="1" fillId="11" borderId="38" xfId="0" applyFont="1" applyFill="1" applyBorder="1" applyAlignment="1">
      <alignment horizontal="center" vertical="top" wrapText="1"/>
    </xf>
    <xf numFmtId="0" fontId="0" fillId="6" borderId="0" xfId="0" applyFill="1"/>
    <xf numFmtId="0" fontId="0" fillId="34" borderId="0" xfId="0" applyFill="1"/>
    <xf numFmtId="0" fontId="0" fillId="0" borderId="0" xfId="0" applyAlignment="1">
      <alignment horizontal="center" wrapText="1"/>
    </xf>
    <xf numFmtId="0" fontId="0" fillId="34" borderId="0" xfId="0" applyFill="1" applyAlignment="1">
      <alignment horizontal="center"/>
    </xf>
    <xf numFmtId="0" fontId="0" fillId="6" borderId="0" xfId="0" applyFill="1" applyAlignment="1">
      <alignment horizontal="center"/>
    </xf>
    <xf numFmtId="0" fontId="1" fillId="11" borderId="0" xfId="0" applyFont="1" applyFill="1"/>
    <xf numFmtId="0" fontId="0" fillId="29" borderId="201" xfId="0" applyFill="1" applyBorder="1"/>
    <xf numFmtId="0" fontId="0" fillId="30" borderId="203" xfId="0" applyFill="1" applyBorder="1"/>
    <xf numFmtId="0" fontId="0" fillId="29" borderId="203" xfId="0" applyFill="1" applyBorder="1"/>
    <xf numFmtId="0" fontId="43" fillId="0" borderId="0" xfId="0" applyFont="1"/>
    <xf numFmtId="0" fontId="42" fillId="8" borderId="209" xfId="0" applyFont="1" applyFill="1" applyBorder="1" applyAlignment="1">
      <alignment horizontal="center"/>
    </xf>
    <xf numFmtId="0" fontId="4" fillId="0" borderId="0" xfId="1" applyFont="1" applyAlignment="1">
      <alignment vertical="center"/>
    </xf>
    <xf numFmtId="0" fontId="3" fillId="14" borderId="0" xfId="1" applyFill="1" applyAlignment="1">
      <alignment vertical="center" wrapText="1"/>
    </xf>
    <xf numFmtId="0" fontId="3" fillId="0" borderId="0" xfId="1" applyAlignment="1">
      <alignment horizontal="left" vertical="center" wrapText="1"/>
    </xf>
    <xf numFmtId="0" fontId="6" fillId="8" borderId="54" xfId="1" applyFont="1" applyFill="1" applyBorder="1" applyAlignment="1">
      <alignment vertical="center"/>
    </xf>
    <xf numFmtId="0" fontId="6" fillId="8" borderId="55" xfId="1" applyFont="1" applyFill="1" applyBorder="1" applyAlignment="1">
      <alignment vertical="center"/>
    </xf>
    <xf numFmtId="0" fontId="3" fillId="35" borderId="56" xfId="1" applyFill="1" applyBorder="1" applyAlignment="1">
      <alignment vertical="center" wrapText="1"/>
    </xf>
    <xf numFmtId="0" fontId="3" fillId="35" borderId="0" xfId="1" applyFill="1" applyAlignment="1">
      <alignment vertical="top" wrapText="1"/>
    </xf>
    <xf numFmtId="0" fontId="36" fillId="25" borderId="46" xfId="0" applyFont="1" applyFill="1" applyBorder="1" applyAlignment="1">
      <alignment horizontal="center" vertical="center" wrapText="1"/>
    </xf>
    <xf numFmtId="0" fontId="36" fillId="25" borderId="37" xfId="0" applyFont="1" applyFill="1" applyBorder="1" applyAlignment="1">
      <alignment horizontal="center" vertical="center" wrapText="1"/>
    </xf>
    <xf numFmtId="0" fontId="39" fillId="24" borderId="199" xfId="0" applyFont="1" applyFill="1" applyBorder="1" applyAlignment="1">
      <alignment horizontal="center" vertical="center" wrapText="1"/>
    </xf>
    <xf numFmtId="0" fontId="39" fillId="24" borderId="196" xfId="0" applyFont="1" applyFill="1" applyBorder="1" applyAlignment="1">
      <alignment horizontal="center" vertical="center" wrapText="1"/>
    </xf>
    <xf numFmtId="0" fontId="39" fillId="24" borderId="194" xfId="0" applyFont="1" applyFill="1" applyBorder="1" applyAlignment="1">
      <alignment horizontal="center" vertical="center" wrapText="1"/>
    </xf>
    <xf numFmtId="0" fontId="36" fillId="25" borderId="26" xfId="0" applyFont="1" applyFill="1" applyBorder="1" applyAlignment="1">
      <alignment horizontal="center" vertical="center" wrapText="1"/>
    </xf>
    <xf numFmtId="0" fontId="38" fillId="24" borderId="199" xfId="0" applyFont="1" applyFill="1" applyBorder="1" applyAlignment="1">
      <alignment horizontal="center" vertical="center" wrapText="1"/>
    </xf>
    <xf numFmtId="0" fontId="38" fillId="24" borderId="196" xfId="0" applyFont="1" applyFill="1" applyBorder="1" applyAlignment="1">
      <alignment horizontal="center" vertical="center" wrapText="1"/>
    </xf>
    <xf numFmtId="0" fontId="38" fillId="24" borderId="194" xfId="0" applyFont="1" applyFill="1" applyBorder="1" applyAlignment="1">
      <alignment horizontal="center" vertical="center" wrapText="1"/>
    </xf>
    <xf numFmtId="0" fontId="37" fillId="0" borderId="113" xfId="0" applyFont="1" applyBorder="1" applyAlignment="1">
      <alignment horizontal="center" vertical="center" wrapText="1"/>
    </xf>
    <xf numFmtId="0" fontId="37" fillId="0" borderId="15" xfId="0" applyFont="1" applyBorder="1" applyAlignment="1">
      <alignment horizontal="center" vertical="center" wrapText="1"/>
    </xf>
    <xf numFmtId="0" fontId="37" fillId="0" borderId="197" xfId="0" applyFont="1" applyBorder="1" applyAlignment="1">
      <alignment horizontal="center" vertical="center" wrapText="1"/>
    </xf>
    <xf numFmtId="0" fontId="37" fillId="0" borderId="54" xfId="0" applyFont="1" applyBorder="1" applyAlignment="1">
      <alignment horizontal="center" vertical="center" wrapText="1"/>
    </xf>
    <xf numFmtId="0" fontId="37" fillId="0" borderId="55" xfId="0" applyFont="1" applyBorder="1" applyAlignment="1">
      <alignment horizontal="center" vertical="center" wrapText="1"/>
    </xf>
    <xf numFmtId="0" fontId="37" fillId="0" borderId="195" xfId="0" applyFont="1" applyBorder="1" applyAlignment="1">
      <alignment horizontal="center" vertical="center" wrapText="1"/>
    </xf>
    <xf numFmtId="0" fontId="37" fillId="0" borderId="192" xfId="0" applyFont="1" applyBorder="1" applyAlignment="1">
      <alignment horizontal="center" vertical="center" wrapText="1"/>
    </xf>
    <xf numFmtId="0" fontId="37" fillId="0" borderId="28" xfId="0" applyFont="1" applyBorder="1" applyAlignment="1">
      <alignment horizontal="center" vertical="center" wrapText="1"/>
    </xf>
    <xf numFmtId="0" fontId="37" fillId="0" borderId="191" xfId="0" applyFont="1" applyBorder="1" applyAlignment="1">
      <alignment horizontal="center" vertical="center" wrapText="1"/>
    </xf>
    <xf numFmtId="0" fontId="3" fillId="6" borderId="0" xfId="1" applyFill="1" applyAlignment="1">
      <alignment horizontal="left" vertical="top" wrapText="1"/>
    </xf>
    <xf numFmtId="0" fontId="16" fillId="6" borderId="0" xfId="1" applyFont="1" applyFill="1" applyAlignment="1">
      <alignment horizontal="left" vertical="top" wrapText="1"/>
    </xf>
    <xf numFmtId="0" fontId="14" fillId="6" borderId="0" xfId="1" applyFont="1" applyFill="1" applyAlignment="1">
      <alignment vertical="center" wrapText="1"/>
    </xf>
    <xf numFmtId="0" fontId="20" fillId="6" borderId="0" xfId="1" applyFont="1" applyFill="1" applyAlignment="1">
      <alignment vertical="center" wrapText="1"/>
    </xf>
    <xf numFmtId="0" fontId="3" fillId="0" borderId="0" xfId="1" applyAlignment="1">
      <alignment horizontal="left" vertical="top" wrapText="1"/>
    </xf>
    <xf numFmtId="0" fontId="32" fillId="6" borderId="0" xfId="1" applyFont="1" applyFill="1" applyAlignment="1">
      <alignment vertical="center" wrapText="1"/>
    </xf>
    <xf numFmtId="0" fontId="33" fillId="6" borderId="0" xfId="1" applyFont="1" applyFill="1" applyAlignment="1">
      <alignment vertical="center" wrapText="1"/>
    </xf>
    <xf numFmtId="0" fontId="3" fillId="6" borderId="0" xfId="1" applyFill="1" applyAlignment="1">
      <alignment vertical="top" wrapText="1"/>
    </xf>
    <xf numFmtId="0" fontId="0" fillId="0" borderId="0" xfId="0" applyAlignment="1">
      <alignment horizontal="center"/>
    </xf>
    <xf numFmtId="0" fontId="0" fillId="0" borderId="0" xfId="0" applyAlignment="1">
      <alignment horizontal="left" vertical="top" wrapText="1"/>
    </xf>
    <xf numFmtId="0" fontId="19" fillId="5" borderId="9" xfId="1" applyFont="1" applyFill="1" applyBorder="1" applyAlignment="1">
      <alignment horizontal="center" vertical="center" wrapText="1"/>
    </xf>
    <xf numFmtId="0" fontId="19" fillId="5" borderId="13" xfId="1" applyFont="1" applyFill="1" applyBorder="1" applyAlignment="1">
      <alignment horizontal="center" vertical="center" wrapText="1"/>
    </xf>
    <xf numFmtId="0" fontId="19" fillId="5" borderId="20" xfId="1" applyFont="1" applyFill="1" applyBorder="1" applyAlignment="1">
      <alignment horizontal="center" vertical="center" wrapText="1"/>
    </xf>
    <xf numFmtId="0" fontId="19" fillId="5" borderId="16" xfId="1" applyFont="1" applyFill="1" applyBorder="1" applyAlignment="1">
      <alignment horizontal="center" vertical="center" wrapText="1"/>
    </xf>
    <xf numFmtId="0" fontId="19" fillId="5" borderId="17" xfId="1" applyFont="1" applyFill="1" applyBorder="1" applyAlignment="1">
      <alignment horizontal="center" vertical="center" wrapText="1"/>
    </xf>
    <xf numFmtId="0" fontId="19" fillId="5" borderId="18" xfId="1" applyFont="1" applyFill="1" applyBorder="1" applyAlignment="1">
      <alignment horizontal="center" vertical="center" wrapText="1"/>
    </xf>
    <xf numFmtId="0" fontId="34" fillId="3" borderId="113" xfId="1" applyFont="1" applyFill="1" applyBorder="1" applyAlignment="1">
      <alignment horizontal="center" vertical="center"/>
    </xf>
    <xf numFmtId="0" fontId="34" fillId="3" borderId="15" xfId="1" applyFont="1" applyFill="1" applyBorder="1" applyAlignment="1">
      <alignment horizontal="center" vertical="center"/>
    </xf>
    <xf numFmtId="0" fontId="34" fillId="3" borderId="2" xfId="1" applyFont="1" applyFill="1" applyBorder="1" applyAlignment="1">
      <alignment horizontal="center" vertical="center"/>
    </xf>
    <xf numFmtId="0" fontId="0" fillId="10" borderId="64" xfId="0" applyFill="1" applyBorder="1" applyAlignment="1">
      <alignment wrapText="1"/>
    </xf>
    <xf numFmtId="0" fontId="0" fillId="10" borderId="0" xfId="0" applyFill="1" applyAlignment="1">
      <alignment horizontal="left" vertical="top" wrapText="1"/>
    </xf>
    <xf numFmtId="0" fontId="0" fillId="10" borderId="39" xfId="0" applyFill="1" applyBorder="1" applyAlignment="1">
      <alignment wrapText="1"/>
    </xf>
    <xf numFmtId="0" fontId="13" fillId="33" borderId="0" xfId="0" applyFont="1" applyFill="1" applyAlignment="1">
      <alignment horizontal="center" vertical="center"/>
    </xf>
    <xf numFmtId="0" fontId="13" fillId="32" borderId="0" xfId="0" applyFont="1" applyFill="1" applyAlignment="1">
      <alignment horizontal="center" vertical="center"/>
    </xf>
    <xf numFmtId="0" fontId="13" fillId="31" borderId="0" xfId="0" applyFont="1" applyFill="1" applyAlignment="1">
      <alignment horizontal="center" vertical="center"/>
    </xf>
    <xf numFmtId="0" fontId="22" fillId="3" borderId="54" xfId="1" applyFont="1" applyFill="1" applyBorder="1" applyAlignment="1">
      <alignment vertical="center"/>
    </xf>
    <xf numFmtId="0" fontId="22" fillId="3" borderId="55" xfId="1" applyFont="1" applyFill="1" applyBorder="1" applyAlignment="1">
      <alignment vertical="center"/>
    </xf>
    <xf numFmtId="0" fontId="3" fillId="0" borderId="56" xfId="1" applyBorder="1" applyAlignment="1">
      <alignment vertical="center" wrapText="1"/>
    </xf>
    <xf numFmtId="0" fontId="11" fillId="3" borderId="42" xfId="1" applyFont="1" applyFill="1" applyBorder="1" applyAlignment="1">
      <alignment horizontal="center" vertical="center"/>
    </xf>
    <xf numFmtId="0" fontId="11" fillId="3" borderId="3" xfId="1" applyFont="1" applyFill="1" applyBorder="1" applyAlignment="1">
      <alignment horizontal="center" vertical="center"/>
    </xf>
    <xf numFmtId="0" fontId="22" fillId="3" borderId="54" xfId="1" applyFont="1" applyFill="1" applyBorder="1" applyAlignment="1">
      <alignment horizontal="left" vertical="center"/>
    </xf>
    <xf numFmtId="0" fontId="22" fillId="3" borderId="55" xfId="1" applyFont="1" applyFill="1" applyBorder="1" applyAlignment="1">
      <alignment horizontal="left" vertical="center"/>
    </xf>
    <xf numFmtId="0" fontId="28" fillId="0" borderId="56" xfId="0" applyFont="1" applyBorder="1" applyAlignment="1">
      <alignment horizontal="left" vertical="center" wrapText="1"/>
    </xf>
    <xf numFmtId="0" fontId="28" fillId="0" borderId="56" xfId="0" applyFont="1" applyBorder="1" applyAlignment="1">
      <alignment horizontal="left" vertical="center"/>
    </xf>
    <xf numFmtId="0" fontId="8" fillId="13" borderId="112" xfId="1" applyFont="1" applyFill="1" applyBorder="1" applyAlignment="1">
      <alignment horizontal="center" vertical="center" wrapText="1"/>
    </xf>
    <xf numFmtId="0" fontId="8" fillId="13" borderId="114" xfId="1" applyFont="1" applyFill="1" applyBorder="1" applyAlignment="1">
      <alignment horizontal="center" vertical="center" wrapText="1"/>
    </xf>
    <xf numFmtId="0" fontId="11" fillId="3" borderId="4" xfId="1" applyFont="1" applyFill="1" applyBorder="1" applyAlignment="1">
      <alignment horizontal="center" vertical="center"/>
    </xf>
    <xf numFmtId="0" fontId="11" fillId="3" borderId="5" xfId="1" applyFont="1" applyFill="1" applyBorder="1" applyAlignment="1">
      <alignment horizontal="center" vertical="center"/>
    </xf>
    <xf numFmtId="0" fontId="11" fillId="3" borderId="116" xfId="1" applyFont="1" applyFill="1" applyBorder="1" applyAlignment="1">
      <alignment horizontal="center" vertical="center"/>
    </xf>
    <xf numFmtId="0" fontId="11" fillId="3" borderId="117" xfId="1" applyFont="1" applyFill="1" applyBorder="1" applyAlignment="1">
      <alignment horizontal="center" vertical="center"/>
    </xf>
    <xf numFmtId="0" fontId="11" fillId="3" borderId="113" xfId="1" applyFont="1" applyFill="1" applyBorder="1" applyAlignment="1">
      <alignment horizontal="center" vertical="center"/>
    </xf>
    <xf numFmtId="0" fontId="28" fillId="0" borderId="0" xfId="0" applyFont="1" applyAlignment="1">
      <alignment horizontal="left" vertical="center" wrapText="1"/>
    </xf>
    <xf numFmtId="0" fontId="14" fillId="5" borderId="48" xfId="1" applyFont="1" applyFill="1" applyBorder="1" applyAlignment="1">
      <alignment horizontal="center" vertical="center" wrapText="1"/>
    </xf>
    <xf numFmtId="0" fontId="14" fillId="5" borderId="44" xfId="1" applyFont="1" applyFill="1" applyBorder="1" applyAlignment="1">
      <alignment horizontal="center" vertical="center" wrapText="1"/>
    </xf>
    <xf numFmtId="0" fontId="14" fillId="5" borderId="45" xfId="1" applyFont="1" applyFill="1" applyBorder="1" applyAlignment="1">
      <alignment horizontal="center" vertical="center" wrapText="1"/>
    </xf>
    <xf numFmtId="0" fontId="22" fillId="3" borderId="41" xfId="1" applyFont="1" applyFill="1" applyBorder="1" applyAlignment="1">
      <alignment horizontal="left" vertical="center"/>
    </xf>
    <xf numFmtId="0" fontId="22" fillId="3" borderId="0" xfId="1" applyFont="1" applyFill="1" applyAlignment="1">
      <alignment horizontal="left" vertical="center"/>
    </xf>
    <xf numFmtId="0" fontId="3" fillId="0" borderId="0" xfId="1" applyAlignment="1">
      <alignment vertical="center" wrapText="1"/>
    </xf>
    <xf numFmtId="0" fontId="11" fillId="3" borderId="42" xfId="1" applyFont="1" applyFill="1" applyBorder="1" applyAlignment="1">
      <alignment horizontal="center" vertical="center" wrapText="1"/>
    </xf>
    <xf numFmtId="0" fontId="11" fillId="3" borderId="3" xfId="1" applyFont="1" applyFill="1" applyBorder="1" applyAlignment="1">
      <alignment horizontal="center" vertical="center" wrapText="1"/>
    </xf>
    <xf numFmtId="0" fontId="14" fillId="4" borderId="43" xfId="1" applyFont="1" applyFill="1" applyBorder="1" applyAlignment="1">
      <alignment horizontal="center" vertical="center" wrapText="1"/>
    </xf>
    <xf numFmtId="0" fontId="14" fillId="4" borderId="44" xfId="1" applyFont="1" applyFill="1" applyBorder="1" applyAlignment="1">
      <alignment horizontal="center" vertical="center" wrapText="1"/>
    </xf>
    <xf numFmtId="0" fontId="14" fillId="4" borderId="47" xfId="1" applyFont="1" applyFill="1" applyBorder="1" applyAlignment="1">
      <alignment horizontal="center" vertical="center" wrapText="1"/>
    </xf>
    <xf numFmtId="0" fontId="14" fillId="4" borderId="48" xfId="1" applyFont="1" applyFill="1" applyBorder="1" applyAlignment="1">
      <alignment horizontal="center" vertical="center" wrapText="1"/>
    </xf>
    <xf numFmtId="0" fontId="0" fillId="6" borderId="0" xfId="0" applyFill="1"/>
    <xf numFmtId="0" fontId="0" fillId="34" borderId="0" xfId="0" applyFill="1"/>
    <xf numFmtId="0" fontId="42" fillId="8" borderId="200" xfId="0" applyFont="1" applyFill="1" applyBorder="1"/>
    <xf numFmtId="0" fontId="42" fillId="8" borderId="0" xfId="0" applyFont="1" applyFill="1"/>
    <xf numFmtId="0" fontId="42" fillId="8" borderId="209" xfId="0" applyFont="1" applyFill="1" applyBorder="1"/>
    <xf numFmtId="0" fontId="2" fillId="6" borderId="0" xfId="0" applyFont="1" applyFill="1" applyAlignment="1">
      <alignment horizontal="center"/>
    </xf>
    <xf numFmtId="0" fontId="2" fillId="34" borderId="0" xfId="0" applyFont="1" applyFill="1" applyAlignment="1">
      <alignment horizontal="center"/>
    </xf>
    <xf numFmtId="0" fontId="1" fillId="8" borderId="212" xfId="0" applyFont="1" applyFill="1" applyBorder="1" applyAlignment="1">
      <alignment horizontal="center" vertical="center"/>
    </xf>
    <xf numFmtId="0" fontId="1" fillId="8" borderId="213" xfId="0" applyFont="1" applyFill="1" applyBorder="1" applyAlignment="1">
      <alignment horizontal="center" vertical="center"/>
    </xf>
    <xf numFmtId="0" fontId="42" fillId="8" borderId="210" xfId="0" applyFont="1" applyFill="1" applyBorder="1" applyAlignment="1">
      <alignment horizontal="center" wrapText="1"/>
    </xf>
    <xf numFmtId="0" fontId="9" fillId="7" borderId="0" xfId="1" applyFont="1" applyFill="1" applyAlignment="1">
      <alignment horizontal="center" vertical="center"/>
    </xf>
    <xf numFmtId="0" fontId="0" fillId="34" borderId="0" xfId="0" applyFill="1" applyAlignment="1">
      <alignment horizontal="center"/>
    </xf>
    <xf numFmtId="0" fontId="42" fillId="8" borderId="200" xfId="0" applyFont="1" applyFill="1" applyBorder="1" applyAlignment="1">
      <alignment horizontal="center" wrapText="1"/>
    </xf>
    <xf numFmtId="0" fontId="1" fillId="8" borderId="211" xfId="0" applyFont="1" applyFill="1" applyBorder="1" applyAlignment="1">
      <alignment horizontal="center" vertical="center"/>
    </xf>
    <xf numFmtId="0" fontId="0" fillId="6" borderId="0" xfId="0" applyFill="1" applyAlignment="1">
      <alignment horizontal="center"/>
    </xf>
    <xf numFmtId="0" fontId="31" fillId="0" borderId="162" xfId="0" applyFont="1" applyBorder="1" applyAlignment="1">
      <alignment horizontal="center" vertical="center"/>
    </xf>
    <xf numFmtId="0" fontId="31" fillId="0" borderId="49" xfId="0" applyFont="1" applyBorder="1" applyAlignment="1">
      <alignment horizontal="center" vertical="center"/>
    </xf>
    <xf numFmtId="0" fontId="31" fillId="0" borderId="181" xfId="0" applyFont="1" applyBorder="1" applyAlignment="1">
      <alignment horizontal="center" vertical="center"/>
    </xf>
    <xf numFmtId="0" fontId="31" fillId="0" borderId="182" xfId="0" applyFont="1" applyBorder="1" applyAlignment="1">
      <alignment horizontal="center" vertical="center"/>
    </xf>
    <xf numFmtId="0" fontId="28" fillId="0" borderId="173" xfId="0" applyFont="1" applyBorder="1" applyAlignment="1">
      <alignment horizontal="center" vertical="center"/>
    </xf>
    <xf numFmtId="0" fontId="28" fillId="0" borderId="171" xfId="0" applyFont="1" applyBorder="1" applyAlignment="1">
      <alignment horizontal="center" vertical="center"/>
    </xf>
    <xf numFmtId="0" fontId="28" fillId="0" borderId="205" xfId="0" applyFont="1" applyBorder="1" applyAlignment="1">
      <alignment horizontal="center" vertical="center"/>
    </xf>
    <xf numFmtId="0" fontId="28" fillId="0" borderId="186" xfId="0" applyFont="1" applyBorder="1" applyAlignment="1">
      <alignment horizontal="center" vertical="center"/>
    </xf>
    <xf numFmtId="0" fontId="28" fillId="0" borderId="184" xfId="0" applyFont="1" applyBorder="1" applyAlignment="1">
      <alignment horizontal="center" vertical="center"/>
    </xf>
    <xf numFmtId="0" fontId="28" fillId="0" borderId="207" xfId="0" applyFont="1" applyBorder="1" applyAlignment="1">
      <alignment horizontal="center" vertical="center"/>
    </xf>
    <xf numFmtId="164" fontId="28" fillId="0" borderId="170" xfId="2" applyNumberFormat="1" applyFont="1" applyFill="1" applyBorder="1" applyAlignment="1">
      <alignment horizontal="center" vertical="center"/>
    </xf>
    <xf numFmtId="164" fontId="28" fillId="0" borderId="171" xfId="2" applyNumberFormat="1" applyFont="1" applyFill="1" applyBorder="1" applyAlignment="1">
      <alignment horizontal="center" vertical="center"/>
    </xf>
    <xf numFmtId="164" fontId="28" fillId="0" borderId="172" xfId="2" applyNumberFormat="1" applyFont="1" applyFill="1" applyBorder="1" applyAlignment="1">
      <alignment horizontal="center" vertical="center"/>
    </xf>
    <xf numFmtId="164" fontId="28" fillId="0" borderId="183" xfId="2" applyNumberFormat="1" applyFont="1" applyFill="1" applyBorder="1" applyAlignment="1">
      <alignment horizontal="center" vertical="center"/>
    </xf>
    <xf numFmtId="164" fontId="28" fillId="0" borderId="184" xfId="2" applyNumberFormat="1" applyFont="1" applyFill="1" applyBorder="1" applyAlignment="1">
      <alignment horizontal="center" vertical="center"/>
    </xf>
    <xf numFmtId="164" fontId="28" fillId="0" borderId="185" xfId="2" applyNumberFormat="1" applyFont="1" applyFill="1" applyBorder="1" applyAlignment="1">
      <alignment horizontal="center" vertical="center"/>
    </xf>
    <xf numFmtId="2" fontId="28" fillId="0" borderId="173" xfId="0" applyNumberFormat="1" applyFont="1" applyBorder="1" applyAlignment="1">
      <alignment horizontal="center" vertical="center"/>
    </xf>
    <xf numFmtId="2" fontId="28" fillId="0" borderId="171" xfId="0" applyNumberFormat="1" applyFont="1" applyBorder="1" applyAlignment="1">
      <alignment horizontal="center" vertical="center"/>
    </xf>
    <xf numFmtId="2" fontId="28" fillId="0" borderId="175" xfId="0" applyNumberFormat="1" applyFont="1" applyBorder="1" applyAlignment="1">
      <alignment horizontal="center" vertical="center"/>
    </xf>
    <xf numFmtId="2" fontId="28" fillId="0" borderId="186" xfId="0" applyNumberFormat="1" applyFont="1" applyBorder="1" applyAlignment="1">
      <alignment horizontal="center" vertical="center"/>
    </xf>
    <xf numFmtId="2" fontId="28" fillId="0" borderId="184" xfId="0" applyNumberFormat="1" applyFont="1" applyBorder="1" applyAlignment="1">
      <alignment horizontal="center" vertical="center"/>
    </xf>
    <xf numFmtId="2" fontId="28" fillId="0" borderId="208" xfId="0" applyNumberFormat="1" applyFont="1" applyBorder="1" applyAlignment="1">
      <alignment horizontal="center" vertical="center"/>
    </xf>
    <xf numFmtId="164" fontId="28" fillId="0" borderId="174" xfId="2" applyNumberFormat="1" applyFont="1" applyFill="1" applyBorder="1" applyAlignment="1">
      <alignment horizontal="center" vertical="center"/>
    </xf>
    <xf numFmtId="164" fontId="28" fillId="0" borderId="20" xfId="2" applyNumberFormat="1" applyFont="1" applyFill="1" applyBorder="1" applyAlignment="1">
      <alignment horizontal="center" vertical="center"/>
    </xf>
    <xf numFmtId="164" fontId="28" fillId="0" borderId="24" xfId="2" applyNumberFormat="1" applyFont="1" applyFill="1" applyBorder="1" applyAlignment="1">
      <alignment horizontal="center" vertical="center"/>
    </xf>
    <xf numFmtId="164" fontId="28" fillId="0" borderId="187" xfId="2" applyNumberFormat="1" applyFont="1" applyFill="1" applyBorder="1" applyAlignment="1">
      <alignment horizontal="center" vertical="center"/>
    </xf>
    <xf numFmtId="0" fontId="1" fillId="11" borderId="200" xfId="0" applyFont="1" applyFill="1" applyBorder="1" applyAlignment="1">
      <alignment horizontal="center"/>
    </xf>
    <xf numFmtId="0" fontId="1" fillId="11" borderId="0" xfId="0" applyFont="1" applyFill="1" applyAlignment="1">
      <alignment horizontal="center"/>
    </xf>
    <xf numFmtId="0" fontId="1" fillId="11" borderId="200" xfId="0" applyFont="1" applyFill="1" applyBorder="1" applyAlignment="1">
      <alignment horizontal="left"/>
    </xf>
    <xf numFmtId="0" fontId="1" fillId="11" borderId="0" xfId="0" applyFont="1" applyFill="1" applyAlignment="1">
      <alignment horizontal="left"/>
    </xf>
    <xf numFmtId="0" fontId="1" fillId="11" borderId="209" xfId="0" applyFont="1" applyFill="1" applyBorder="1" applyAlignment="1">
      <alignment horizontal="left"/>
    </xf>
    <xf numFmtId="0" fontId="1" fillId="11" borderId="209" xfId="0" applyFont="1" applyFill="1" applyBorder="1" applyAlignment="1">
      <alignment horizontal="center"/>
    </xf>
    <xf numFmtId="0" fontId="1" fillId="11" borderId="200" xfId="0" applyFont="1" applyFill="1" applyBorder="1" applyAlignment="1">
      <alignment horizontal="center" wrapText="1"/>
    </xf>
    <xf numFmtId="0" fontId="1" fillId="11" borderId="0" xfId="0" applyFont="1" applyFill="1" applyAlignment="1">
      <alignment horizontal="center" wrapText="1"/>
    </xf>
    <xf numFmtId="0" fontId="1" fillId="11" borderId="209" xfId="0" applyFont="1" applyFill="1" applyBorder="1" applyAlignment="1">
      <alignment horizontal="center" wrapText="1"/>
    </xf>
    <xf numFmtId="2" fontId="19" fillId="0" borderId="84" xfId="1" applyNumberFormat="1" applyFont="1" applyBorder="1" applyAlignment="1">
      <alignment horizontal="center" vertical="center" wrapText="1"/>
    </xf>
    <xf numFmtId="2" fontId="19" fillId="0" borderId="103" xfId="1" applyNumberFormat="1" applyFont="1" applyBorder="1" applyAlignment="1">
      <alignment horizontal="center" vertical="center" wrapText="1"/>
    </xf>
    <xf numFmtId="2" fontId="19" fillId="0" borderId="80" xfId="1" applyNumberFormat="1" applyFont="1" applyBorder="1" applyAlignment="1">
      <alignment horizontal="center" vertical="center" wrapText="1"/>
    </xf>
    <xf numFmtId="0" fontId="19" fillId="13" borderId="0" xfId="1" applyFont="1" applyFill="1" applyAlignment="1">
      <alignment horizontal="center" vertical="center"/>
    </xf>
    <xf numFmtId="0" fontId="11" fillId="7" borderId="134" xfId="1" applyFont="1" applyFill="1" applyBorder="1" applyAlignment="1">
      <alignment horizontal="center" vertical="center"/>
    </xf>
    <xf numFmtId="0" fontId="11" fillId="7" borderId="135" xfId="1" applyFont="1" applyFill="1" applyBorder="1" applyAlignment="1">
      <alignment horizontal="center" vertical="center"/>
    </xf>
    <xf numFmtId="0" fontId="11" fillId="7" borderId="136" xfId="1" applyFont="1" applyFill="1" applyBorder="1" applyAlignment="1">
      <alignment horizontal="center" vertical="center"/>
    </xf>
    <xf numFmtId="0" fontId="11" fillId="7" borderId="137" xfId="1" applyFont="1" applyFill="1" applyBorder="1" applyAlignment="1">
      <alignment horizontal="center" vertical="center"/>
    </xf>
    <xf numFmtId="0" fontId="11" fillId="7" borderId="142" xfId="1" applyFont="1" applyFill="1" applyBorder="1" applyAlignment="1">
      <alignment horizontal="center" vertical="center"/>
    </xf>
    <xf numFmtId="0" fontId="11" fillId="7" borderId="143" xfId="1" applyFont="1" applyFill="1" applyBorder="1" applyAlignment="1">
      <alignment horizontal="center" vertical="center"/>
    </xf>
    <xf numFmtId="0" fontId="11" fillId="7" borderId="144" xfId="1" applyFont="1" applyFill="1" applyBorder="1" applyAlignment="1">
      <alignment horizontal="center" vertical="center"/>
    </xf>
    <xf numFmtId="0" fontId="11" fillId="7" borderId="145" xfId="1" applyFont="1" applyFill="1" applyBorder="1" applyAlignment="1">
      <alignment horizontal="center" vertical="center"/>
    </xf>
    <xf numFmtId="0" fontId="11" fillId="7" borderId="138" xfId="1" applyFont="1" applyFill="1" applyBorder="1" applyAlignment="1">
      <alignment horizontal="center" vertical="center"/>
    </xf>
    <xf numFmtId="0" fontId="11" fillId="7" borderId="139" xfId="1" applyFont="1" applyFill="1" applyBorder="1" applyAlignment="1">
      <alignment horizontal="center" vertical="center"/>
    </xf>
    <xf numFmtId="0" fontId="11" fillId="7" borderId="140" xfId="1" applyFont="1" applyFill="1" applyBorder="1" applyAlignment="1">
      <alignment horizontal="center" vertical="center"/>
    </xf>
    <xf numFmtId="0" fontId="11" fillId="7" borderId="141" xfId="1" applyFont="1" applyFill="1" applyBorder="1" applyAlignment="1">
      <alignment horizontal="center" vertical="center"/>
    </xf>
    <xf numFmtId="0" fontId="11" fillId="7" borderId="146" xfId="1" applyFont="1" applyFill="1" applyBorder="1" applyAlignment="1">
      <alignment horizontal="center" vertical="center"/>
    </xf>
    <xf numFmtId="0" fontId="11" fillId="7" borderId="147" xfId="1" applyFont="1" applyFill="1" applyBorder="1" applyAlignment="1">
      <alignment horizontal="center" vertical="center"/>
    </xf>
    <xf numFmtId="0" fontId="11" fillId="7" borderId="148" xfId="1" applyFont="1" applyFill="1" applyBorder="1" applyAlignment="1">
      <alignment horizontal="center" vertical="center"/>
    </xf>
    <xf numFmtId="0" fontId="11" fillId="7" borderId="149" xfId="1" applyFont="1" applyFill="1" applyBorder="1" applyAlignment="1">
      <alignment horizontal="center" vertical="center"/>
    </xf>
    <xf numFmtId="0" fontId="11" fillId="7" borderId="151" xfId="1" applyFont="1" applyFill="1" applyBorder="1" applyAlignment="1">
      <alignment horizontal="center" vertical="center"/>
    </xf>
    <xf numFmtId="0" fontId="11" fillId="7" borderId="152" xfId="1" applyFont="1" applyFill="1" applyBorder="1" applyAlignment="1">
      <alignment horizontal="center" vertical="center"/>
    </xf>
    <xf numFmtId="0" fontId="11" fillId="7" borderId="149" xfId="1" applyFont="1" applyFill="1" applyBorder="1" applyAlignment="1">
      <alignment horizontal="center" vertical="center" wrapText="1"/>
    </xf>
    <xf numFmtId="0" fontId="11" fillId="7" borderId="150" xfId="1" applyFont="1" applyFill="1" applyBorder="1" applyAlignment="1">
      <alignment horizontal="center" vertical="center" wrapText="1"/>
    </xf>
    <xf numFmtId="0" fontId="11" fillId="7" borderId="152" xfId="1" applyFont="1" applyFill="1" applyBorder="1" applyAlignment="1">
      <alignment horizontal="center" vertical="center" wrapText="1"/>
    </xf>
    <xf numFmtId="0" fontId="11" fillId="7" borderId="153" xfId="1" applyFont="1" applyFill="1" applyBorder="1" applyAlignment="1">
      <alignment horizontal="center" vertical="center" wrapText="1"/>
    </xf>
    <xf numFmtId="0" fontId="11" fillId="7" borderId="154" xfId="1" applyFont="1" applyFill="1" applyBorder="1" applyAlignment="1">
      <alignment horizontal="center" vertical="center"/>
    </xf>
    <xf numFmtId="0" fontId="11" fillId="7" borderId="155" xfId="1" applyFont="1" applyFill="1" applyBorder="1" applyAlignment="1">
      <alignment horizontal="center" vertical="center"/>
    </xf>
    <xf numFmtId="0" fontId="11" fillId="7" borderId="156" xfId="1" applyFont="1" applyFill="1" applyBorder="1" applyAlignment="1">
      <alignment horizontal="center" vertical="center"/>
    </xf>
    <xf numFmtId="0" fontId="11" fillId="7" borderId="157" xfId="1" applyFont="1" applyFill="1" applyBorder="1" applyAlignment="1">
      <alignment horizontal="center" vertical="center"/>
    </xf>
    <xf numFmtId="0" fontId="11" fillId="7" borderId="158" xfId="1" applyFont="1" applyFill="1" applyBorder="1" applyAlignment="1">
      <alignment horizontal="center" vertical="center"/>
    </xf>
    <xf numFmtId="0" fontId="11" fillId="7" borderId="159" xfId="1" applyFont="1" applyFill="1" applyBorder="1" applyAlignment="1">
      <alignment horizontal="center" vertical="center"/>
    </xf>
    <xf numFmtId="0" fontId="11" fillId="7" borderId="9" xfId="1" applyFont="1" applyFill="1" applyBorder="1" applyAlignment="1">
      <alignment horizontal="center" vertical="center"/>
    </xf>
    <xf numFmtId="0" fontId="11" fillId="7" borderId="25" xfId="1" applyFont="1" applyFill="1" applyBorder="1" applyAlignment="1">
      <alignment horizontal="center" vertical="center"/>
    </xf>
    <xf numFmtId="0" fontId="11" fillId="7" borderId="21" xfId="1" applyFont="1" applyFill="1" applyBorder="1" applyAlignment="1">
      <alignment horizontal="center" vertical="center"/>
    </xf>
    <xf numFmtId="0" fontId="11" fillId="7" borderId="160" xfId="1" applyFont="1" applyFill="1" applyBorder="1" applyAlignment="1">
      <alignment horizontal="center" vertical="center"/>
    </xf>
    <xf numFmtId="0" fontId="11" fillId="7" borderId="27" xfId="1" applyFont="1" applyFill="1" applyBorder="1" applyAlignment="1">
      <alignment horizontal="center" vertical="center"/>
    </xf>
    <xf numFmtId="0" fontId="11" fillId="7" borderId="161" xfId="1" applyFont="1" applyFill="1" applyBorder="1" applyAlignment="1">
      <alignment horizontal="center" vertical="center"/>
    </xf>
    <xf numFmtId="0" fontId="28" fillId="0" borderId="49" xfId="0" applyFont="1" applyBorder="1" applyAlignment="1">
      <alignment horizontal="center" vertical="center"/>
    </xf>
    <xf numFmtId="0" fontId="28" fillId="0" borderId="163" xfId="0" applyFont="1" applyBorder="1" applyAlignment="1">
      <alignment horizontal="center" vertical="center"/>
    </xf>
    <xf numFmtId="164" fontId="28" fillId="0" borderId="162" xfId="2" applyNumberFormat="1" applyFont="1" applyFill="1" applyBorder="1" applyAlignment="1">
      <alignment horizontal="center" vertical="center"/>
    </xf>
    <xf numFmtId="164" fontId="28" fillId="0" borderId="125" xfId="2" applyNumberFormat="1" applyFont="1" applyFill="1" applyBorder="1" applyAlignment="1">
      <alignment horizontal="center" vertical="center"/>
    </xf>
    <xf numFmtId="164" fontId="28" fillId="0" borderId="49" xfId="2" applyNumberFormat="1" applyFont="1" applyFill="1" applyBorder="1" applyAlignment="1">
      <alignment horizontal="center" vertical="center"/>
    </xf>
    <xf numFmtId="2" fontId="28" fillId="0" borderId="49" xfId="0" applyNumberFormat="1" applyFont="1" applyBorder="1" applyAlignment="1">
      <alignment horizontal="center" vertical="center"/>
    </xf>
    <xf numFmtId="2" fontId="28" fillId="0" borderId="123" xfId="0" applyNumberFormat="1" applyFont="1" applyBorder="1" applyAlignment="1">
      <alignment horizontal="center" vertical="center"/>
    </xf>
    <xf numFmtId="164" fontId="28" fillId="0" borderId="164" xfId="2" applyNumberFormat="1" applyFont="1" applyFill="1" applyBorder="1" applyAlignment="1">
      <alignment horizontal="center" vertical="center"/>
    </xf>
    <xf numFmtId="0" fontId="17" fillId="13" borderId="165" xfId="1" applyFont="1" applyFill="1" applyBorder="1" applyAlignment="1">
      <alignment horizontal="center" vertical="center" wrapText="1"/>
    </xf>
    <xf numFmtId="0" fontId="17" fillId="13" borderId="56" xfId="1" applyFont="1" applyFill="1" applyBorder="1" applyAlignment="1">
      <alignment horizontal="center" vertical="center" wrapText="1"/>
    </xf>
    <xf numFmtId="0" fontId="17" fillId="13" borderId="30" xfId="1" applyFont="1" applyFill="1" applyBorder="1" applyAlignment="1">
      <alignment horizontal="center" vertical="center" wrapText="1"/>
    </xf>
    <xf numFmtId="0" fontId="17" fillId="13" borderId="20" xfId="1" applyFont="1" applyFill="1" applyBorder="1" applyAlignment="1">
      <alignment horizontal="center" vertical="center" wrapText="1"/>
    </xf>
    <xf numFmtId="0" fontId="17" fillId="13" borderId="24" xfId="1" applyFont="1" applyFill="1" applyBorder="1" applyAlignment="1">
      <alignment horizontal="center" vertical="center" wrapText="1"/>
    </xf>
    <xf numFmtId="0" fontId="17" fillId="13" borderId="36" xfId="1" applyFont="1" applyFill="1" applyBorder="1" applyAlignment="1">
      <alignment horizontal="center" vertical="center" wrapText="1"/>
    </xf>
    <xf numFmtId="166" fontId="3" fillId="13" borderId="166" xfId="1" applyNumberFormat="1" applyFill="1" applyBorder="1" applyAlignment="1">
      <alignment horizontal="center" vertical="center" wrapText="1"/>
    </xf>
    <xf numFmtId="166" fontId="3" fillId="13" borderId="56" xfId="1" applyNumberFormat="1" applyFill="1" applyBorder="1" applyAlignment="1">
      <alignment horizontal="center" vertical="center" wrapText="1"/>
    </xf>
    <xf numFmtId="166" fontId="3" fillId="13" borderId="167" xfId="1" applyNumberFormat="1" applyFill="1" applyBorder="1" applyAlignment="1">
      <alignment horizontal="center" vertical="center" wrapText="1"/>
    </xf>
    <xf numFmtId="166" fontId="3" fillId="13" borderId="189" xfId="1" applyNumberFormat="1" applyFill="1" applyBorder="1" applyAlignment="1">
      <alignment horizontal="center" vertical="center" wrapText="1"/>
    </xf>
    <xf numFmtId="166" fontId="3" fillId="13" borderId="24" xfId="1" applyNumberFormat="1" applyFill="1" applyBorder="1" applyAlignment="1">
      <alignment horizontal="center" vertical="center" wrapText="1"/>
    </xf>
    <xf numFmtId="166" fontId="3" fillId="13" borderId="23" xfId="1" applyNumberFormat="1" applyFill="1" applyBorder="1" applyAlignment="1">
      <alignment horizontal="center" vertical="center" wrapText="1"/>
    </xf>
    <xf numFmtId="0" fontId="17" fillId="13" borderId="162" xfId="1" applyFont="1" applyFill="1" applyBorder="1" applyAlignment="1">
      <alignment horizontal="center" vertical="center"/>
    </xf>
    <xf numFmtId="0" fontId="17" fillId="13" borderId="49" xfId="1" applyFont="1" applyFill="1" applyBorder="1" applyAlignment="1">
      <alignment horizontal="center" vertical="center"/>
    </xf>
    <xf numFmtId="0" fontId="3" fillId="13" borderId="173" xfId="1" applyFill="1" applyBorder="1" applyAlignment="1">
      <alignment horizontal="center" vertical="center"/>
    </xf>
    <xf numFmtId="0" fontId="3" fillId="13" borderId="171" xfId="1" applyFill="1" applyBorder="1" applyAlignment="1">
      <alignment horizontal="center" vertical="center"/>
    </xf>
    <xf numFmtId="0" fontId="3" fillId="13" borderId="205" xfId="1" applyFill="1" applyBorder="1" applyAlignment="1">
      <alignment horizontal="center" vertical="center"/>
    </xf>
    <xf numFmtId="0" fontId="3" fillId="13" borderId="178" xfId="1" applyFill="1" applyBorder="1" applyAlignment="1">
      <alignment horizontal="center" vertical="center"/>
    </xf>
    <xf numFmtId="0" fontId="3" fillId="13" borderId="177" xfId="1" applyFill="1" applyBorder="1" applyAlignment="1">
      <alignment horizontal="center" vertical="center"/>
    </xf>
    <xf numFmtId="0" fontId="3" fillId="13" borderId="206" xfId="1" applyFill="1" applyBorder="1" applyAlignment="1">
      <alignment horizontal="center" vertical="center"/>
    </xf>
    <xf numFmtId="164" fontId="28" fillId="13" borderId="170" xfId="2" applyNumberFormat="1" applyFont="1" applyFill="1" applyBorder="1" applyAlignment="1">
      <alignment horizontal="center" vertical="center"/>
    </xf>
    <xf numFmtId="164" fontId="28" fillId="13" borderId="171" xfId="2" applyNumberFormat="1" applyFont="1" applyFill="1" applyBorder="1" applyAlignment="1">
      <alignment horizontal="center" vertical="center"/>
    </xf>
    <xf numFmtId="164" fontId="28" fillId="13" borderId="172" xfId="2" applyNumberFormat="1" applyFont="1" applyFill="1" applyBorder="1" applyAlignment="1">
      <alignment horizontal="center" vertical="center"/>
    </xf>
    <xf numFmtId="164" fontId="28" fillId="13" borderId="176" xfId="2" applyNumberFormat="1" applyFont="1" applyFill="1" applyBorder="1" applyAlignment="1">
      <alignment horizontal="center" vertical="center"/>
    </xf>
    <xf numFmtId="164" fontId="28" fillId="13" borderId="177" xfId="2" applyNumberFormat="1" applyFont="1" applyFill="1" applyBorder="1" applyAlignment="1">
      <alignment horizontal="center" vertical="center"/>
    </xf>
    <xf numFmtId="164" fontId="28" fillId="13" borderId="122" xfId="2" applyNumberFormat="1" applyFont="1" applyFill="1" applyBorder="1" applyAlignment="1">
      <alignment horizontal="center" vertical="center"/>
    </xf>
    <xf numFmtId="2" fontId="28" fillId="13" borderId="173" xfId="0" applyNumberFormat="1" applyFont="1" applyFill="1" applyBorder="1" applyAlignment="1">
      <alignment horizontal="center" vertical="center"/>
    </xf>
    <xf numFmtId="2" fontId="28" fillId="13" borderId="171" xfId="0" applyNumberFormat="1" applyFont="1" applyFill="1" applyBorder="1" applyAlignment="1">
      <alignment horizontal="center" vertical="center"/>
    </xf>
    <xf numFmtId="2" fontId="28" fillId="13" borderId="175" xfId="0" applyNumberFormat="1" applyFont="1" applyFill="1" applyBorder="1" applyAlignment="1">
      <alignment horizontal="center" vertical="center"/>
    </xf>
    <xf numFmtId="2" fontId="28" fillId="13" borderId="178" xfId="0" applyNumberFormat="1" applyFont="1" applyFill="1" applyBorder="1" applyAlignment="1">
      <alignment horizontal="center" vertical="center"/>
    </xf>
    <xf numFmtId="2" fontId="28" fillId="13" borderId="177" xfId="0" applyNumberFormat="1" applyFont="1" applyFill="1" applyBorder="1" applyAlignment="1">
      <alignment horizontal="center" vertical="center"/>
    </xf>
    <xf numFmtId="2" fontId="28" fillId="13" borderId="180" xfId="0" applyNumberFormat="1" applyFont="1" applyFill="1" applyBorder="1" applyAlignment="1">
      <alignment horizontal="center" vertical="center"/>
    </xf>
    <xf numFmtId="164" fontId="28" fillId="13" borderId="174" xfId="2" applyNumberFormat="1" applyFont="1" applyFill="1" applyBorder="1" applyAlignment="1">
      <alignment horizontal="center" vertical="center"/>
    </xf>
    <xf numFmtId="164" fontId="28" fillId="13" borderId="179" xfId="2" applyNumberFormat="1" applyFont="1" applyFill="1" applyBorder="1" applyAlignment="1">
      <alignment horizontal="center" vertical="center"/>
    </xf>
    <xf numFmtId="0" fontId="28" fillId="13" borderId="173" xfId="0" applyFont="1" applyFill="1" applyBorder="1" applyAlignment="1">
      <alignment horizontal="center" vertical="center"/>
    </xf>
    <xf numFmtId="0" fontId="28" fillId="13" borderId="171" xfId="0" applyFont="1" applyFill="1" applyBorder="1" applyAlignment="1">
      <alignment horizontal="center" vertical="center"/>
    </xf>
    <xf numFmtId="0" fontId="28" fillId="13" borderId="175" xfId="0" applyFont="1" applyFill="1" applyBorder="1" applyAlignment="1">
      <alignment horizontal="center" vertical="center"/>
    </xf>
    <xf numFmtId="0" fontId="28" fillId="13" borderId="178" xfId="0" applyFont="1" applyFill="1" applyBorder="1" applyAlignment="1">
      <alignment horizontal="center" vertical="center"/>
    </xf>
    <xf numFmtId="0" fontId="28" fillId="13" borderId="177" xfId="0" applyFont="1" applyFill="1" applyBorder="1" applyAlignment="1">
      <alignment horizontal="center" vertical="center"/>
    </xf>
    <xf numFmtId="0" fontId="28" fillId="13" borderId="180" xfId="0" applyFont="1" applyFill="1" applyBorder="1" applyAlignment="1">
      <alignment horizontal="center" vertical="center"/>
    </xf>
    <xf numFmtId="164" fontId="28" fillId="0" borderId="179" xfId="2" applyNumberFormat="1" applyFont="1" applyFill="1" applyBorder="1" applyAlignment="1">
      <alignment horizontal="center" vertical="center"/>
    </xf>
    <xf numFmtId="164" fontId="28" fillId="0" borderId="177" xfId="2" applyNumberFormat="1" applyFont="1" applyFill="1" applyBorder="1" applyAlignment="1">
      <alignment horizontal="center" vertical="center"/>
    </xf>
    <xf numFmtId="164" fontId="28" fillId="0" borderId="122" xfId="2" applyNumberFormat="1" applyFont="1" applyFill="1" applyBorder="1" applyAlignment="1">
      <alignment horizontal="center" vertical="center"/>
    </xf>
    <xf numFmtId="0" fontId="28" fillId="0" borderId="175" xfId="0" applyFont="1" applyBorder="1" applyAlignment="1">
      <alignment horizontal="center" vertical="center"/>
    </xf>
    <xf numFmtId="0" fontId="28" fillId="0" borderId="178" xfId="0" applyFont="1" applyBorder="1" applyAlignment="1">
      <alignment horizontal="center" vertical="center"/>
    </xf>
    <xf numFmtId="0" fontId="28" fillId="0" borderId="177" xfId="0" applyFont="1" applyBorder="1" applyAlignment="1">
      <alignment horizontal="center" vertical="center"/>
    </xf>
    <xf numFmtId="0" fontId="28" fillId="0" borderId="180" xfId="0" applyFont="1" applyBorder="1" applyAlignment="1">
      <alignment horizontal="center" vertical="center"/>
    </xf>
    <xf numFmtId="2" fontId="12" fillId="0" borderId="84" xfId="1" applyNumberFormat="1" applyFont="1" applyBorder="1" applyAlignment="1">
      <alignment horizontal="center" vertical="center" wrapText="1"/>
    </xf>
    <xf numFmtId="2" fontId="12" fillId="0" borderId="80" xfId="1" applyNumberFormat="1" applyFont="1" applyBorder="1" applyAlignment="1">
      <alignment horizontal="center" vertical="center" wrapText="1"/>
    </xf>
    <xf numFmtId="0" fontId="28" fillId="0" borderId="61" xfId="0" applyFont="1" applyBorder="1" applyAlignment="1">
      <alignment horizontal="center" vertical="center"/>
    </xf>
    <xf numFmtId="0" fontId="31" fillId="0" borderId="165" xfId="0" applyFont="1" applyBorder="1" applyAlignment="1">
      <alignment horizontal="center" vertical="center"/>
    </xf>
    <xf numFmtId="0" fontId="31" fillId="0" borderId="56" xfId="0" applyFont="1" applyBorder="1" applyAlignment="1">
      <alignment horizontal="center" vertical="center"/>
    </xf>
    <xf numFmtId="0" fontId="31" fillId="0" borderId="30" xfId="0" applyFont="1" applyBorder="1" applyAlignment="1">
      <alignment horizontal="center" vertical="center"/>
    </xf>
    <xf numFmtId="0" fontId="31" fillId="0" borderId="160" xfId="0" applyFont="1" applyBorder="1" applyAlignment="1">
      <alignment horizontal="center" vertical="center"/>
    </xf>
    <xf numFmtId="0" fontId="31" fillId="0" borderId="27" xfId="0" applyFont="1" applyBorder="1" applyAlignment="1">
      <alignment horizontal="center" vertical="center"/>
    </xf>
    <xf numFmtId="0" fontId="31" fillId="0" borderId="168" xfId="0" applyFont="1" applyBorder="1" applyAlignment="1">
      <alignment horizontal="center" vertical="center"/>
    </xf>
    <xf numFmtId="0" fontId="20" fillId="0" borderId="166" xfId="1" applyFont="1" applyBorder="1" applyAlignment="1">
      <alignment horizontal="center" vertical="center"/>
    </xf>
    <xf numFmtId="0" fontId="20" fillId="0" borderId="56" xfId="1" applyFont="1" applyBorder="1" applyAlignment="1">
      <alignment horizontal="center" vertical="center"/>
    </xf>
    <xf numFmtId="0" fontId="20" fillId="0" borderId="167" xfId="1" applyFont="1" applyBorder="1" applyAlignment="1">
      <alignment horizontal="center" vertical="center"/>
    </xf>
    <xf numFmtId="0" fontId="20" fillId="0" borderId="169" xfId="1" applyFont="1" applyBorder="1" applyAlignment="1">
      <alignment horizontal="center" vertical="center"/>
    </xf>
    <xf numFmtId="0" fontId="20" fillId="0" borderId="27" xfId="1" applyFont="1" applyBorder="1" applyAlignment="1">
      <alignment horizontal="center" vertical="center"/>
    </xf>
    <xf numFmtId="0" fontId="20" fillId="0" borderId="161" xfId="1" applyFont="1" applyBorder="1" applyAlignment="1">
      <alignment horizontal="center" vertical="center"/>
    </xf>
    <xf numFmtId="0" fontId="31" fillId="13" borderId="162" xfId="0" applyFont="1" applyFill="1" applyBorder="1" applyAlignment="1">
      <alignment horizontal="center" vertical="center"/>
    </xf>
    <xf numFmtId="0" fontId="31" fillId="13" borderId="49" xfId="0" applyFont="1" applyFill="1" applyBorder="1" applyAlignment="1">
      <alignment horizontal="center" vertical="center"/>
    </xf>
    <xf numFmtId="0" fontId="28" fillId="13" borderId="205" xfId="0" applyFont="1" applyFill="1" applyBorder="1" applyAlignment="1">
      <alignment horizontal="center" vertical="center"/>
    </xf>
    <xf numFmtId="0" fontId="28" fillId="13" borderId="206" xfId="0" applyFont="1" applyFill="1" applyBorder="1" applyAlignment="1">
      <alignment horizontal="center" vertical="center"/>
    </xf>
    <xf numFmtId="0" fontId="28" fillId="0" borderId="206" xfId="0" applyFont="1" applyBorder="1" applyAlignment="1">
      <alignment horizontal="center" vertical="center"/>
    </xf>
    <xf numFmtId="164" fontId="28" fillId="0" borderId="176" xfId="2" applyNumberFormat="1" applyFont="1" applyFill="1" applyBorder="1" applyAlignment="1">
      <alignment horizontal="center" vertical="center"/>
    </xf>
    <xf numFmtId="2" fontId="28" fillId="0" borderId="178" xfId="0" applyNumberFormat="1" applyFont="1" applyBorder="1" applyAlignment="1">
      <alignment horizontal="center" vertical="center"/>
    </xf>
    <xf numFmtId="2" fontId="28" fillId="0" borderId="177" xfId="0" applyNumberFormat="1" applyFont="1" applyBorder="1" applyAlignment="1">
      <alignment horizontal="center" vertical="center"/>
    </xf>
    <xf numFmtId="2" fontId="28" fillId="0" borderId="180" xfId="0" applyNumberFormat="1" applyFont="1" applyBorder="1" applyAlignment="1">
      <alignment horizontal="center" vertical="center"/>
    </xf>
    <xf numFmtId="0" fontId="28" fillId="0" borderId="188" xfId="0" applyFont="1" applyBorder="1" applyAlignment="1">
      <alignment horizontal="center" vertical="center"/>
    </xf>
    <xf numFmtId="0" fontId="28" fillId="0" borderId="24" xfId="0" applyFont="1" applyBorder="1" applyAlignment="1">
      <alignment horizontal="center" vertical="center"/>
    </xf>
    <xf numFmtId="0" fontId="28" fillId="0" borderId="23" xfId="0" applyFont="1" applyBorder="1" applyAlignment="1">
      <alignment horizontal="center" vertical="center"/>
    </xf>
    <xf numFmtId="0" fontId="19" fillId="0" borderId="84" xfId="1" applyFont="1" applyBorder="1" applyAlignment="1">
      <alignment horizontal="center" vertical="center" wrapText="1"/>
    </xf>
    <xf numFmtId="0" fontId="19" fillId="0" borderId="103" xfId="1" applyFont="1" applyBorder="1" applyAlignment="1">
      <alignment horizontal="center" vertical="center" wrapText="1"/>
    </xf>
    <xf numFmtId="0" fontId="19" fillId="0" borderId="80" xfId="1" applyFont="1" applyBorder="1" applyAlignment="1">
      <alignment horizontal="center" vertical="center" wrapText="1"/>
    </xf>
    <xf numFmtId="2" fontId="20" fillId="0" borderId="84" xfId="1" applyNumberFormat="1" applyFont="1" applyBorder="1" applyAlignment="1">
      <alignment horizontal="center" vertical="center" wrapText="1"/>
    </xf>
    <xf numFmtId="2" fontId="20" fillId="0" borderId="103" xfId="1" applyNumberFormat="1" applyFont="1" applyBorder="1" applyAlignment="1">
      <alignment horizontal="center" vertical="center" wrapText="1"/>
    </xf>
    <xf numFmtId="2" fontId="20" fillId="0" borderId="80" xfId="1" applyNumberFormat="1" applyFont="1" applyBorder="1" applyAlignment="1">
      <alignment horizontal="center" vertical="center" wrapText="1"/>
    </xf>
    <xf numFmtId="0" fontId="2" fillId="0" borderId="0" xfId="0" applyFont="1" applyAlignment="1">
      <alignment vertical="center" wrapText="1"/>
    </xf>
    <xf numFmtId="0" fontId="27" fillId="8" borderId="13" xfId="1" applyFont="1" applyFill="1" applyBorder="1" applyAlignment="1">
      <alignment horizontal="left" vertical="top"/>
    </xf>
    <xf numFmtId="0" fontId="27" fillId="8" borderId="0" xfId="1" applyFont="1" applyFill="1" applyAlignment="1">
      <alignment horizontal="left" vertical="top"/>
    </xf>
    <xf numFmtId="0" fontId="2" fillId="21" borderId="0" xfId="0" applyFont="1" applyFill="1" applyAlignment="1">
      <alignment horizontal="left" vertical="top"/>
    </xf>
    <xf numFmtId="2" fontId="0" fillId="0" borderId="64" xfId="0" applyNumberFormat="1" applyBorder="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xf>
    <xf numFmtId="2" fontId="0" fillId="0" borderId="39" xfId="0" applyNumberFormat="1" applyBorder="1" applyAlignment="1">
      <alignment horizontal="center" vertical="center"/>
    </xf>
    <xf numFmtId="0" fontId="0" fillId="0" borderId="0" xfId="0" applyAlignment="1">
      <alignment horizontal="left" wrapText="1"/>
    </xf>
  </cellXfs>
  <cellStyles count="4">
    <cellStyle name="Currency" xfId="2" builtinId="4"/>
    <cellStyle name="Currency 2" xfId="3" xr:uid="{57CFFF52-0A15-4C5B-8ADA-350A0E18F034}"/>
    <cellStyle name="Normal" xfId="0" builtinId="0"/>
    <cellStyle name="Normal 2" xfId="1" xr:uid="{CC0AA1BA-5BF5-4B46-B339-5091DD72B815}"/>
  </cellStyles>
  <dxfs count="5">
    <dxf>
      <fill>
        <patternFill>
          <bgColor theme="0"/>
        </patternFill>
      </fill>
    </dxf>
    <dxf>
      <fill>
        <patternFill patternType="gray0625">
          <bgColor rgb="FFCED990"/>
        </patternFill>
      </fill>
    </dxf>
    <dxf>
      <fill>
        <patternFill>
          <bgColor rgb="FF66FF99"/>
        </patternFill>
      </fill>
    </dxf>
    <dxf>
      <fill>
        <patternFill>
          <bgColor rgb="FFCCFFCC"/>
        </patternFill>
      </fill>
    </dxf>
    <dxf>
      <fill>
        <patternFill>
          <bgColor rgb="FF00CC66"/>
        </patternFill>
      </fill>
    </dxf>
  </dxfs>
  <tableStyles count="0" defaultTableStyle="TableStyleMedium2" defaultPivotStyle="PivotStyleLight16"/>
  <colors>
    <mruColors>
      <color rgb="FFCCFFCC"/>
      <color rgb="FF66FF99"/>
      <color rgb="FF00CC66"/>
      <color rgb="FFCED990"/>
      <color rgb="FFA8B9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Application Security Current State vs. Target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1440867987204718"/>
          <c:y val="0.23573766862418744"/>
          <c:w val="0.37899514025590553"/>
          <c:h val="0.69769143157401825"/>
        </c:manualLayout>
      </c:layout>
      <c:radarChart>
        <c:radarStyle val="marker"/>
        <c:varyColors val="0"/>
        <c:ser>
          <c:idx val="0"/>
          <c:order val="0"/>
          <c:tx>
            <c:v>Current State</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 List &amp; Calc'!$B$126:$B$130</c:f>
              <c:strCache>
                <c:ptCount val="5"/>
                <c:pt idx="0">
                  <c:v>Analyze &amp; Design</c:v>
                </c:pt>
                <c:pt idx="1">
                  <c:v>Build</c:v>
                </c:pt>
                <c:pt idx="2">
                  <c:v>Test</c:v>
                </c:pt>
                <c:pt idx="3">
                  <c:v>Deploy</c:v>
                </c:pt>
                <c:pt idx="4">
                  <c:v>Maintenance &amp; Operations</c:v>
                </c:pt>
              </c:strCache>
            </c:strRef>
          </c:cat>
          <c:val>
            <c:numRef>
              <c:f>'9. List &amp; Calc'!$K$126:$K$130</c:f>
              <c:numCache>
                <c:formatCode>0.00</c:formatCode>
                <c:ptCount val="5"/>
                <c:pt idx="0">
                  <c:v>1.8571428571428572</c:v>
                </c:pt>
                <c:pt idx="1">
                  <c:v>1.8333333333333333</c:v>
                </c:pt>
                <c:pt idx="2">
                  <c:v>2</c:v>
                </c:pt>
                <c:pt idx="3">
                  <c:v>2.6</c:v>
                </c:pt>
                <c:pt idx="4">
                  <c:v>2.7142857142857144</c:v>
                </c:pt>
              </c:numCache>
            </c:numRef>
          </c:val>
          <c:extLst>
            <c:ext xmlns:c16="http://schemas.microsoft.com/office/drawing/2014/chart" uri="{C3380CC4-5D6E-409C-BE32-E72D297353CC}">
              <c16:uniqueId val="{00000000-4DD7-42E6-8640-E9178EF924E0}"/>
            </c:ext>
          </c:extLst>
        </c:ser>
        <c:ser>
          <c:idx val="1"/>
          <c:order val="1"/>
          <c:tx>
            <c:v>Target State</c:v>
          </c:tx>
          <c:spPr>
            <a:ln w="28575" cap="rnd">
              <a:solidFill>
                <a:schemeClr val="tx2">
                  <a:lumMod val="25000"/>
                  <a:lumOff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 List &amp; Calc'!$B$126:$B$130</c:f>
              <c:strCache>
                <c:ptCount val="5"/>
                <c:pt idx="0">
                  <c:v>Analyze &amp; Design</c:v>
                </c:pt>
                <c:pt idx="1">
                  <c:v>Build</c:v>
                </c:pt>
                <c:pt idx="2">
                  <c:v>Test</c:v>
                </c:pt>
                <c:pt idx="3">
                  <c:v>Deploy</c:v>
                </c:pt>
                <c:pt idx="4">
                  <c:v>Maintenance &amp; Operations</c:v>
                </c:pt>
              </c:strCache>
            </c:strRef>
          </c:cat>
          <c:val>
            <c:numRef>
              <c:f>'9. List &amp; Calc'!$R$126:$R$130</c:f>
              <c:numCache>
                <c:formatCode>0.00</c:formatCode>
                <c:ptCount val="5"/>
                <c:pt idx="0">
                  <c:v>2.8571428571428572</c:v>
                </c:pt>
                <c:pt idx="1">
                  <c:v>3.1666666666666665</c:v>
                </c:pt>
                <c:pt idx="2">
                  <c:v>2.8</c:v>
                </c:pt>
                <c:pt idx="3">
                  <c:v>3.6</c:v>
                </c:pt>
                <c:pt idx="4">
                  <c:v>3.7142857142857144</c:v>
                </c:pt>
              </c:numCache>
            </c:numRef>
          </c:val>
          <c:extLst>
            <c:ext xmlns:c16="http://schemas.microsoft.com/office/drawing/2014/chart" uri="{C3380CC4-5D6E-409C-BE32-E72D297353CC}">
              <c16:uniqueId val="{00000001-4DD7-42E6-8640-E9178EF924E0}"/>
            </c:ext>
          </c:extLst>
        </c:ser>
        <c:dLbls>
          <c:showLegendKey val="0"/>
          <c:showVal val="1"/>
          <c:showCatName val="0"/>
          <c:showSerName val="0"/>
          <c:showPercent val="0"/>
          <c:showBubbleSize val="0"/>
        </c:dLbls>
        <c:axId val="1350479296"/>
        <c:axId val="1350476416"/>
      </c:radarChart>
      <c:catAx>
        <c:axId val="135047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0476416"/>
        <c:crosses val="autoZero"/>
        <c:auto val="1"/>
        <c:lblAlgn val="ctr"/>
        <c:lblOffset val="100"/>
        <c:noMultiLvlLbl val="0"/>
      </c:catAx>
      <c:valAx>
        <c:axId val="1350476416"/>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one"/>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7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Application Security Current State vs. Target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Current State</c:v>
          </c:tx>
          <c:spPr>
            <a:solidFill>
              <a:schemeClr val="accent1">
                <a:shade val="76000"/>
              </a:schemeClr>
            </a:solidFill>
            <a:ln>
              <a:noFill/>
            </a:ln>
            <a:effectLst/>
            <a:sp3d/>
          </c:spPr>
          <c:invertIfNegative val="0"/>
          <c:cat>
            <c:strRef>
              <c:f>'9. List &amp; Calc'!$B$126:$B$130</c:f>
              <c:strCache>
                <c:ptCount val="5"/>
                <c:pt idx="0">
                  <c:v>Analyze &amp; Design</c:v>
                </c:pt>
                <c:pt idx="1">
                  <c:v>Build</c:v>
                </c:pt>
                <c:pt idx="2">
                  <c:v>Test</c:v>
                </c:pt>
                <c:pt idx="3">
                  <c:v>Deploy</c:v>
                </c:pt>
                <c:pt idx="4">
                  <c:v>Maintenance &amp; Operations</c:v>
                </c:pt>
              </c:strCache>
            </c:strRef>
          </c:cat>
          <c:val>
            <c:numRef>
              <c:f>'9. List &amp; Calc'!$K$126:$K$130</c:f>
              <c:numCache>
                <c:formatCode>0.00</c:formatCode>
                <c:ptCount val="5"/>
                <c:pt idx="0">
                  <c:v>1.8571428571428572</c:v>
                </c:pt>
                <c:pt idx="1">
                  <c:v>1.8333333333333333</c:v>
                </c:pt>
                <c:pt idx="2">
                  <c:v>2</c:v>
                </c:pt>
                <c:pt idx="3">
                  <c:v>2.6</c:v>
                </c:pt>
                <c:pt idx="4">
                  <c:v>2.7142857142857144</c:v>
                </c:pt>
              </c:numCache>
            </c:numRef>
          </c:val>
          <c:extLst>
            <c:ext xmlns:c16="http://schemas.microsoft.com/office/drawing/2014/chart" uri="{C3380CC4-5D6E-409C-BE32-E72D297353CC}">
              <c16:uniqueId val="{00000000-AFE8-4294-83DA-E6801858C962}"/>
            </c:ext>
          </c:extLst>
        </c:ser>
        <c:ser>
          <c:idx val="1"/>
          <c:order val="1"/>
          <c:tx>
            <c:v>Target State</c:v>
          </c:tx>
          <c:spPr>
            <a:solidFill>
              <a:schemeClr val="accent1">
                <a:tint val="77000"/>
              </a:schemeClr>
            </a:solidFill>
            <a:ln>
              <a:noFill/>
            </a:ln>
            <a:effectLst/>
            <a:sp3d/>
          </c:spPr>
          <c:invertIfNegative val="0"/>
          <c:cat>
            <c:strRef>
              <c:f>'9. List &amp; Calc'!$B$126:$B$130</c:f>
              <c:strCache>
                <c:ptCount val="5"/>
                <c:pt idx="0">
                  <c:v>Analyze &amp; Design</c:v>
                </c:pt>
                <c:pt idx="1">
                  <c:v>Build</c:v>
                </c:pt>
                <c:pt idx="2">
                  <c:v>Test</c:v>
                </c:pt>
                <c:pt idx="3">
                  <c:v>Deploy</c:v>
                </c:pt>
                <c:pt idx="4">
                  <c:v>Maintenance &amp; Operations</c:v>
                </c:pt>
              </c:strCache>
            </c:strRef>
          </c:cat>
          <c:val>
            <c:numRef>
              <c:f>'9. List &amp; Calc'!$S$126:$S$130</c:f>
              <c:numCache>
                <c:formatCode>0.0</c:formatCode>
                <c:ptCount val="5"/>
                <c:pt idx="0">
                  <c:v>1</c:v>
                </c:pt>
                <c:pt idx="1">
                  <c:v>1.3333333333333333</c:v>
                </c:pt>
                <c:pt idx="2">
                  <c:v>0.79999999999999982</c:v>
                </c:pt>
                <c:pt idx="3">
                  <c:v>1</c:v>
                </c:pt>
                <c:pt idx="4">
                  <c:v>1</c:v>
                </c:pt>
              </c:numCache>
            </c:numRef>
          </c:val>
          <c:extLst>
            <c:ext xmlns:c16="http://schemas.microsoft.com/office/drawing/2014/chart" uri="{C3380CC4-5D6E-409C-BE32-E72D297353CC}">
              <c16:uniqueId val="{00000001-AFE8-4294-83DA-E6801858C962}"/>
            </c:ext>
          </c:extLst>
        </c:ser>
        <c:dLbls>
          <c:showLegendKey val="0"/>
          <c:showVal val="0"/>
          <c:showCatName val="0"/>
          <c:showSerName val="0"/>
          <c:showPercent val="0"/>
          <c:showBubbleSize val="0"/>
        </c:dLbls>
        <c:gapWidth val="150"/>
        <c:shape val="box"/>
        <c:axId val="361930048"/>
        <c:axId val="361938208"/>
        <c:axId val="0"/>
      </c:bar3DChart>
      <c:catAx>
        <c:axId val="361930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38208"/>
        <c:crosses val="autoZero"/>
        <c:auto val="1"/>
        <c:lblAlgn val="ctr"/>
        <c:lblOffset val="100"/>
        <c:noMultiLvlLbl val="0"/>
      </c:catAx>
      <c:valAx>
        <c:axId val="361938208"/>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30048"/>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Application Security Current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Current State</c:v>
          </c:tx>
          <c:spPr>
            <a:solidFill>
              <a:schemeClr val="accent1"/>
            </a:solidFill>
            <a:ln>
              <a:noFill/>
            </a:ln>
            <a:effectLst/>
            <a:sp3d/>
          </c:spPr>
          <c:invertIfNegative val="0"/>
          <c:cat>
            <c:strRef>
              <c:f>'9. List &amp; Calc'!$B$126:$B$130</c:f>
              <c:strCache>
                <c:ptCount val="5"/>
                <c:pt idx="0">
                  <c:v>Analyze &amp; Design</c:v>
                </c:pt>
                <c:pt idx="1">
                  <c:v>Build</c:v>
                </c:pt>
                <c:pt idx="2">
                  <c:v>Test</c:v>
                </c:pt>
                <c:pt idx="3">
                  <c:v>Deploy</c:v>
                </c:pt>
                <c:pt idx="4">
                  <c:v>Maintenance &amp; Operations</c:v>
                </c:pt>
              </c:strCache>
            </c:strRef>
          </c:cat>
          <c:val>
            <c:numRef>
              <c:f>'9. List &amp; Calc'!$K$126:$K$130</c:f>
              <c:numCache>
                <c:formatCode>0.00</c:formatCode>
                <c:ptCount val="5"/>
                <c:pt idx="0">
                  <c:v>1.8571428571428572</c:v>
                </c:pt>
                <c:pt idx="1">
                  <c:v>1.8333333333333333</c:v>
                </c:pt>
                <c:pt idx="2">
                  <c:v>2</c:v>
                </c:pt>
                <c:pt idx="3">
                  <c:v>2.6</c:v>
                </c:pt>
                <c:pt idx="4">
                  <c:v>2.7142857142857144</c:v>
                </c:pt>
              </c:numCache>
            </c:numRef>
          </c:val>
          <c:extLst>
            <c:ext xmlns:c16="http://schemas.microsoft.com/office/drawing/2014/chart" uri="{C3380CC4-5D6E-409C-BE32-E72D297353CC}">
              <c16:uniqueId val="{00000000-C44C-4408-BDCA-07876936C881}"/>
            </c:ext>
          </c:extLst>
        </c:ser>
        <c:dLbls>
          <c:showLegendKey val="0"/>
          <c:showVal val="0"/>
          <c:showCatName val="0"/>
          <c:showSerName val="0"/>
          <c:showPercent val="0"/>
          <c:showBubbleSize val="0"/>
        </c:dLbls>
        <c:gapWidth val="150"/>
        <c:shape val="box"/>
        <c:axId val="1240014320"/>
        <c:axId val="1240014800"/>
        <c:axId val="0"/>
      </c:bar3DChart>
      <c:catAx>
        <c:axId val="1240014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Current State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014800"/>
        <c:crosses val="autoZero"/>
        <c:auto val="1"/>
        <c:lblAlgn val="ctr"/>
        <c:lblOffset val="100"/>
        <c:noMultiLvlLbl val="0"/>
      </c:catAx>
      <c:valAx>
        <c:axId val="1240014800"/>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014320"/>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Analyze</a:t>
            </a:r>
            <a:r>
              <a:rPr lang="en-US" b="1" baseline="0"/>
              <a:t> &amp; Design Phase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8648547373030607E-2"/>
          <c:y val="0.13438527437934703"/>
          <c:w val="0.89219768163082236"/>
          <c:h val="0.69552622582156187"/>
        </c:manualLayout>
      </c:layout>
      <c:bar3DChart>
        <c:barDir val="col"/>
        <c:grouping val="stacked"/>
        <c:varyColors val="0"/>
        <c:ser>
          <c:idx val="0"/>
          <c:order val="0"/>
          <c:tx>
            <c:v>Current State</c:v>
          </c:tx>
          <c:spPr>
            <a:solidFill>
              <a:schemeClr val="accent1">
                <a:shade val="76000"/>
              </a:schemeClr>
            </a:solidFill>
            <a:ln>
              <a:noFill/>
            </a:ln>
            <a:effectLst/>
            <a:sp3d/>
          </c:spPr>
          <c:invertIfNegative val="0"/>
          <c:cat>
            <c:strRef>
              <c:f>'9. List &amp; Calc'!$D$58:$D$64</c:f>
              <c:strCache>
                <c:ptCount val="7"/>
                <c:pt idx="0">
                  <c:v>Security Requirements Definition</c:v>
                </c:pt>
                <c:pt idx="1">
                  <c:v>Threat Modeling</c:v>
                </c:pt>
                <c:pt idx="2">
                  <c:v>Secure Architecture Design</c:v>
                </c:pt>
                <c:pt idx="3">
                  <c:v>Zero Trust Architecture</c:v>
                </c:pt>
                <c:pt idx="4">
                  <c:v>Secure AI/ML Design</c:v>
                </c:pt>
                <c:pt idx="5">
                  <c:v>AI/ML Training Data Collection Security</c:v>
                </c:pt>
                <c:pt idx="6">
                  <c:v>Secure Design Review &amp; Assurance</c:v>
                </c:pt>
              </c:strCache>
            </c:strRef>
          </c:cat>
          <c:val>
            <c:numRef>
              <c:f>'9. List &amp; Calc'!$G$58:$G$64</c:f>
              <c:numCache>
                <c:formatCode>General</c:formatCode>
                <c:ptCount val="7"/>
                <c:pt idx="0">
                  <c:v>2</c:v>
                </c:pt>
                <c:pt idx="1">
                  <c:v>3</c:v>
                </c:pt>
                <c:pt idx="2">
                  <c:v>1</c:v>
                </c:pt>
                <c:pt idx="3">
                  <c:v>2</c:v>
                </c:pt>
                <c:pt idx="4">
                  <c:v>2</c:v>
                </c:pt>
                <c:pt idx="5">
                  <c:v>1</c:v>
                </c:pt>
                <c:pt idx="6">
                  <c:v>2</c:v>
                </c:pt>
              </c:numCache>
            </c:numRef>
          </c:val>
          <c:extLst>
            <c:ext xmlns:c16="http://schemas.microsoft.com/office/drawing/2014/chart" uri="{C3380CC4-5D6E-409C-BE32-E72D297353CC}">
              <c16:uniqueId val="{00000000-0AB6-4477-BD2E-64EFBFB3801B}"/>
            </c:ext>
          </c:extLst>
        </c:ser>
        <c:ser>
          <c:idx val="1"/>
          <c:order val="1"/>
          <c:tx>
            <c:v>Target State</c:v>
          </c:tx>
          <c:spPr>
            <a:solidFill>
              <a:schemeClr val="accent1">
                <a:tint val="77000"/>
              </a:schemeClr>
            </a:solidFill>
            <a:ln>
              <a:noFill/>
            </a:ln>
            <a:effectLst/>
            <a:sp3d/>
          </c:spPr>
          <c:invertIfNegative val="0"/>
          <c:cat>
            <c:strRef>
              <c:f>'9. List &amp; Calc'!$D$58:$D$64</c:f>
              <c:strCache>
                <c:ptCount val="7"/>
                <c:pt idx="0">
                  <c:v>Security Requirements Definition</c:v>
                </c:pt>
                <c:pt idx="1">
                  <c:v>Threat Modeling</c:v>
                </c:pt>
                <c:pt idx="2">
                  <c:v>Secure Architecture Design</c:v>
                </c:pt>
                <c:pt idx="3">
                  <c:v>Zero Trust Architecture</c:v>
                </c:pt>
                <c:pt idx="4">
                  <c:v>Secure AI/ML Design</c:v>
                </c:pt>
                <c:pt idx="5">
                  <c:v>AI/ML Training Data Collection Security</c:v>
                </c:pt>
                <c:pt idx="6">
                  <c:v>Secure Design Review &amp; Assurance</c:v>
                </c:pt>
              </c:strCache>
            </c:strRef>
          </c:cat>
          <c:val>
            <c:numRef>
              <c:f>'9. List &amp; Calc'!$I$58:$I$64</c:f>
              <c:numCache>
                <c:formatCode>General</c:formatCode>
                <c:ptCount val="7"/>
                <c:pt idx="0">
                  <c:v>1</c:v>
                </c:pt>
                <c:pt idx="1">
                  <c:v>1</c:v>
                </c:pt>
                <c:pt idx="2">
                  <c:v>0</c:v>
                </c:pt>
                <c:pt idx="3">
                  <c:v>1</c:v>
                </c:pt>
                <c:pt idx="4">
                  <c:v>1</c:v>
                </c:pt>
                <c:pt idx="5">
                  <c:v>3</c:v>
                </c:pt>
                <c:pt idx="6">
                  <c:v>0</c:v>
                </c:pt>
              </c:numCache>
            </c:numRef>
          </c:val>
          <c:extLst>
            <c:ext xmlns:c16="http://schemas.microsoft.com/office/drawing/2014/chart" uri="{C3380CC4-5D6E-409C-BE32-E72D297353CC}">
              <c16:uniqueId val="{00000001-0AB6-4477-BD2E-64EFBFB3801B}"/>
            </c:ext>
          </c:extLst>
        </c:ser>
        <c:dLbls>
          <c:showLegendKey val="0"/>
          <c:showVal val="0"/>
          <c:showCatName val="0"/>
          <c:showSerName val="0"/>
          <c:showPercent val="0"/>
          <c:showBubbleSize val="0"/>
        </c:dLbls>
        <c:gapWidth val="150"/>
        <c:shape val="box"/>
        <c:axId val="890398688"/>
        <c:axId val="890386208"/>
        <c:axId val="0"/>
      </c:bar3DChart>
      <c:catAx>
        <c:axId val="890398688"/>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wrap="square" anchor="b"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890386208"/>
        <c:crosses val="autoZero"/>
        <c:auto val="1"/>
        <c:lblAlgn val="ctr"/>
        <c:lblOffset val="100"/>
        <c:noMultiLvlLbl val="0"/>
      </c:catAx>
      <c:valAx>
        <c:axId val="890386208"/>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98688"/>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Build 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Current State</c:v>
          </c:tx>
          <c:spPr>
            <a:solidFill>
              <a:schemeClr val="accent1">
                <a:shade val="76000"/>
              </a:schemeClr>
            </a:solidFill>
            <a:ln>
              <a:noFill/>
            </a:ln>
            <a:effectLst/>
            <a:sp3d/>
          </c:spPr>
          <c:invertIfNegative val="0"/>
          <c:cat>
            <c:strRef>
              <c:f>'9. List &amp; Calc'!$D$65:$D$70</c:f>
              <c:strCache>
                <c:ptCount val="6"/>
                <c:pt idx="0">
                  <c:v>Secure Coding Practices &amp; Training</c:v>
                </c:pt>
                <c:pt idx="1">
                  <c:v>Secure Code Review &amp; Static Analysis</c:v>
                </c:pt>
                <c:pt idx="2">
                  <c:v>Software Supply Chain Security</c:v>
                </c:pt>
                <c:pt idx="3">
                  <c:v>Secure Build &amp; CI/CD Pipeline</c:v>
                </c:pt>
                <c:pt idx="4">
                  <c:v>Secure Version Control &amp; Repository Management</c:v>
                </c:pt>
                <c:pt idx="5">
                  <c:v>Secrets Management in Development</c:v>
                </c:pt>
              </c:strCache>
            </c:strRef>
          </c:cat>
          <c:val>
            <c:numRef>
              <c:f>'9. List &amp; Calc'!$G$65:$G$70</c:f>
              <c:numCache>
                <c:formatCode>General</c:formatCode>
                <c:ptCount val="6"/>
                <c:pt idx="0">
                  <c:v>2</c:v>
                </c:pt>
                <c:pt idx="1">
                  <c:v>2</c:v>
                </c:pt>
                <c:pt idx="2">
                  <c:v>1</c:v>
                </c:pt>
                <c:pt idx="3">
                  <c:v>2</c:v>
                </c:pt>
                <c:pt idx="4">
                  <c:v>1</c:v>
                </c:pt>
                <c:pt idx="5">
                  <c:v>3</c:v>
                </c:pt>
              </c:numCache>
            </c:numRef>
          </c:val>
          <c:extLst>
            <c:ext xmlns:c16="http://schemas.microsoft.com/office/drawing/2014/chart" uri="{C3380CC4-5D6E-409C-BE32-E72D297353CC}">
              <c16:uniqueId val="{00000000-7E3A-4138-AD43-438C20C95816}"/>
            </c:ext>
          </c:extLst>
        </c:ser>
        <c:ser>
          <c:idx val="1"/>
          <c:order val="1"/>
          <c:tx>
            <c:v>Target State</c:v>
          </c:tx>
          <c:spPr>
            <a:solidFill>
              <a:schemeClr val="accent1">
                <a:tint val="77000"/>
              </a:schemeClr>
            </a:solidFill>
            <a:ln>
              <a:noFill/>
            </a:ln>
            <a:effectLst/>
            <a:sp3d/>
          </c:spPr>
          <c:invertIfNegative val="0"/>
          <c:cat>
            <c:strRef>
              <c:f>'9. List &amp; Calc'!$D$65:$D$70</c:f>
              <c:strCache>
                <c:ptCount val="6"/>
                <c:pt idx="0">
                  <c:v>Secure Coding Practices &amp; Training</c:v>
                </c:pt>
                <c:pt idx="1">
                  <c:v>Secure Code Review &amp; Static Analysis</c:v>
                </c:pt>
                <c:pt idx="2">
                  <c:v>Software Supply Chain Security</c:v>
                </c:pt>
                <c:pt idx="3">
                  <c:v>Secure Build &amp; CI/CD Pipeline</c:v>
                </c:pt>
                <c:pt idx="4">
                  <c:v>Secure Version Control &amp; Repository Management</c:v>
                </c:pt>
                <c:pt idx="5">
                  <c:v>Secrets Management in Development</c:v>
                </c:pt>
              </c:strCache>
            </c:strRef>
          </c:cat>
          <c:val>
            <c:numRef>
              <c:f>'9. List &amp; Calc'!$I$65:$I$70</c:f>
              <c:numCache>
                <c:formatCode>General</c:formatCode>
                <c:ptCount val="6"/>
                <c:pt idx="0">
                  <c:v>2</c:v>
                </c:pt>
                <c:pt idx="1">
                  <c:v>2</c:v>
                </c:pt>
                <c:pt idx="2">
                  <c:v>0</c:v>
                </c:pt>
                <c:pt idx="3">
                  <c:v>1</c:v>
                </c:pt>
                <c:pt idx="4">
                  <c:v>2</c:v>
                </c:pt>
                <c:pt idx="5">
                  <c:v>1</c:v>
                </c:pt>
              </c:numCache>
            </c:numRef>
          </c:val>
          <c:extLst>
            <c:ext xmlns:c16="http://schemas.microsoft.com/office/drawing/2014/chart" uri="{C3380CC4-5D6E-409C-BE32-E72D297353CC}">
              <c16:uniqueId val="{00000001-7E3A-4138-AD43-438C20C95816}"/>
            </c:ext>
          </c:extLst>
        </c:ser>
        <c:dLbls>
          <c:showLegendKey val="0"/>
          <c:showVal val="0"/>
          <c:showCatName val="0"/>
          <c:showSerName val="0"/>
          <c:showPercent val="0"/>
          <c:showBubbleSize val="0"/>
        </c:dLbls>
        <c:gapWidth val="150"/>
        <c:shape val="box"/>
        <c:axId val="1302852159"/>
        <c:axId val="1302863199"/>
        <c:axId val="0"/>
      </c:bar3DChart>
      <c:catAx>
        <c:axId val="1302852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863199"/>
        <c:crosses val="autoZero"/>
        <c:auto val="1"/>
        <c:lblAlgn val="ctr"/>
        <c:lblOffset val="100"/>
        <c:noMultiLvlLbl val="0"/>
      </c:catAx>
      <c:valAx>
        <c:axId val="130286319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852159"/>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Test 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Current State</c:v>
          </c:tx>
          <c:spPr>
            <a:solidFill>
              <a:schemeClr val="accent1">
                <a:shade val="76000"/>
              </a:schemeClr>
            </a:solidFill>
            <a:ln>
              <a:noFill/>
            </a:ln>
            <a:effectLst/>
            <a:sp3d/>
          </c:spPr>
          <c:invertIfNegative val="0"/>
          <c:cat>
            <c:strRef>
              <c:f>'9. List &amp; Calc'!$D$71:$D$75</c:f>
              <c:strCache>
                <c:ptCount val="5"/>
                <c:pt idx="0">
                  <c:v>Automated Security Testing</c:v>
                </c:pt>
                <c:pt idx="1">
                  <c:v>Penetration Testing &amp; Red Teaming</c:v>
                </c:pt>
                <c:pt idx="2">
                  <c:v>Fuzz &amp; Chaos Testing</c:v>
                </c:pt>
                <c:pt idx="3">
                  <c:v>Security Requirements Validation</c:v>
                </c:pt>
                <c:pt idx="4">
                  <c:v>Secure Test Environments &amp; Data Management</c:v>
                </c:pt>
              </c:strCache>
            </c:strRef>
          </c:cat>
          <c:val>
            <c:numRef>
              <c:f>'9. List &amp; Calc'!$G$71:$G$75</c:f>
              <c:numCache>
                <c:formatCode>General</c:formatCode>
                <c:ptCount val="5"/>
                <c:pt idx="0">
                  <c:v>3</c:v>
                </c:pt>
                <c:pt idx="1">
                  <c:v>2</c:v>
                </c:pt>
                <c:pt idx="2">
                  <c:v>2</c:v>
                </c:pt>
                <c:pt idx="3">
                  <c:v>1</c:v>
                </c:pt>
                <c:pt idx="4">
                  <c:v>0</c:v>
                </c:pt>
              </c:numCache>
            </c:numRef>
          </c:val>
          <c:extLst>
            <c:ext xmlns:c16="http://schemas.microsoft.com/office/drawing/2014/chart" uri="{C3380CC4-5D6E-409C-BE32-E72D297353CC}">
              <c16:uniqueId val="{00000000-7C0B-4B4F-BCD7-93179EF548F0}"/>
            </c:ext>
          </c:extLst>
        </c:ser>
        <c:ser>
          <c:idx val="1"/>
          <c:order val="1"/>
          <c:tx>
            <c:v>Target State</c:v>
          </c:tx>
          <c:spPr>
            <a:solidFill>
              <a:schemeClr val="accent1">
                <a:tint val="77000"/>
              </a:schemeClr>
            </a:solidFill>
            <a:ln>
              <a:noFill/>
            </a:ln>
            <a:effectLst/>
            <a:sp3d/>
          </c:spPr>
          <c:invertIfNegative val="0"/>
          <c:cat>
            <c:strRef>
              <c:f>'9. List &amp; Calc'!$D$71:$D$75</c:f>
              <c:strCache>
                <c:ptCount val="5"/>
                <c:pt idx="0">
                  <c:v>Automated Security Testing</c:v>
                </c:pt>
                <c:pt idx="1">
                  <c:v>Penetration Testing &amp; Red Teaming</c:v>
                </c:pt>
                <c:pt idx="2">
                  <c:v>Fuzz &amp; Chaos Testing</c:v>
                </c:pt>
                <c:pt idx="3">
                  <c:v>Security Requirements Validation</c:v>
                </c:pt>
                <c:pt idx="4">
                  <c:v>Secure Test Environments &amp; Data Management</c:v>
                </c:pt>
              </c:strCache>
            </c:strRef>
          </c:cat>
          <c:val>
            <c:numRef>
              <c:f>'9. List &amp; Calc'!$I$71:$I$75</c:f>
              <c:numCache>
                <c:formatCode>General</c:formatCode>
                <c:ptCount val="5"/>
                <c:pt idx="0">
                  <c:v>2</c:v>
                </c:pt>
                <c:pt idx="1">
                  <c:v>1</c:v>
                </c:pt>
                <c:pt idx="2">
                  <c:v>1</c:v>
                </c:pt>
                <c:pt idx="3">
                  <c:v>1</c:v>
                </c:pt>
                <c:pt idx="4">
                  <c:v>1</c:v>
                </c:pt>
              </c:numCache>
            </c:numRef>
          </c:val>
          <c:extLst>
            <c:ext xmlns:c16="http://schemas.microsoft.com/office/drawing/2014/chart" uri="{C3380CC4-5D6E-409C-BE32-E72D297353CC}">
              <c16:uniqueId val="{00000001-7C0B-4B4F-BCD7-93179EF548F0}"/>
            </c:ext>
          </c:extLst>
        </c:ser>
        <c:dLbls>
          <c:showLegendKey val="0"/>
          <c:showVal val="0"/>
          <c:showCatName val="0"/>
          <c:showSerName val="0"/>
          <c:showPercent val="0"/>
          <c:showBubbleSize val="0"/>
        </c:dLbls>
        <c:gapWidth val="150"/>
        <c:shape val="box"/>
        <c:axId val="1302854559"/>
        <c:axId val="1302851679"/>
        <c:axId val="0"/>
      </c:bar3DChart>
      <c:catAx>
        <c:axId val="1302854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851679"/>
        <c:crosses val="autoZero"/>
        <c:auto val="1"/>
        <c:lblAlgn val="ctr"/>
        <c:lblOffset val="100"/>
        <c:noMultiLvlLbl val="0"/>
      </c:catAx>
      <c:valAx>
        <c:axId val="130285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854559"/>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Deploy 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Current State</c:v>
          </c:tx>
          <c:spPr>
            <a:solidFill>
              <a:schemeClr val="accent1">
                <a:shade val="76000"/>
              </a:schemeClr>
            </a:solidFill>
            <a:ln>
              <a:noFill/>
            </a:ln>
            <a:effectLst/>
            <a:sp3d/>
          </c:spPr>
          <c:invertIfNegative val="0"/>
          <c:cat>
            <c:strRef>
              <c:f>'9. List &amp; Calc'!$D$76:$D$81</c:f>
              <c:strCache>
                <c:ptCount val="6"/>
                <c:pt idx="0">
                  <c:v>Secure Deployment &amp; Infrastructure‑as‑Code (IaC)</c:v>
                </c:pt>
                <c:pt idx="1">
                  <c:v>Container &amp; Orchestrator Security</c:v>
                </c:pt>
                <c:pt idx="2">
                  <c:v>Policy‑as‑Code (PaC) Deployment</c:v>
                </c:pt>
                <c:pt idx="3">
                  <c:v>Artifact Signing &amp; Provenance</c:v>
                </c:pt>
                <c:pt idx="4">
                  <c:v>Deployment Security Gates &amp; Reviews</c:v>
                </c:pt>
                <c:pt idx="5">
                  <c:v>Security Monitoring &amp; Threat Detection</c:v>
                </c:pt>
              </c:strCache>
            </c:strRef>
          </c:cat>
          <c:val>
            <c:numRef>
              <c:f>'9. List &amp; Calc'!$G$76:$G$81</c:f>
              <c:numCache>
                <c:formatCode>General</c:formatCode>
                <c:ptCount val="6"/>
                <c:pt idx="0">
                  <c:v>4</c:v>
                </c:pt>
                <c:pt idx="1">
                  <c:v>1</c:v>
                </c:pt>
                <c:pt idx="2">
                  <c:v>2</c:v>
                </c:pt>
                <c:pt idx="3">
                  <c:v>1</c:v>
                </c:pt>
                <c:pt idx="4">
                  <c:v>5</c:v>
                </c:pt>
                <c:pt idx="5">
                  <c:v>4</c:v>
                </c:pt>
              </c:numCache>
            </c:numRef>
          </c:val>
          <c:extLst>
            <c:ext xmlns:c16="http://schemas.microsoft.com/office/drawing/2014/chart" uri="{C3380CC4-5D6E-409C-BE32-E72D297353CC}">
              <c16:uniqueId val="{00000000-3028-4989-B5BF-54FA7FE83481}"/>
            </c:ext>
          </c:extLst>
        </c:ser>
        <c:ser>
          <c:idx val="1"/>
          <c:order val="1"/>
          <c:tx>
            <c:v>Target State</c:v>
          </c:tx>
          <c:spPr>
            <a:solidFill>
              <a:schemeClr val="accent1">
                <a:tint val="77000"/>
              </a:schemeClr>
            </a:solidFill>
            <a:ln>
              <a:noFill/>
            </a:ln>
            <a:effectLst/>
            <a:sp3d/>
          </c:spPr>
          <c:invertIfNegative val="0"/>
          <c:cat>
            <c:strRef>
              <c:f>'9. List &amp; Calc'!$D$76:$D$81</c:f>
              <c:strCache>
                <c:ptCount val="6"/>
                <c:pt idx="0">
                  <c:v>Secure Deployment &amp; Infrastructure‑as‑Code (IaC)</c:v>
                </c:pt>
                <c:pt idx="1">
                  <c:v>Container &amp; Orchestrator Security</c:v>
                </c:pt>
                <c:pt idx="2">
                  <c:v>Policy‑as‑Code (PaC) Deployment</c:v>
                </c:pt>
                <c:pt idx="3">
                  <c:v>Artifact Signing &amp; Provenance</c:v>
                </c:pt>
                <c:pt idx="4">
                  <c:v>Deployment Security Gates &amp; Reviews</c:v>
                </c:pt>
                <c:pt idx="5">
                  <c:v>Security Monitoring &amp; Threat Detection</c:v>
                </c:pt>
              </c:strCache>
            </c:strRef>
          </c:cat>
          <c:val>
            <c:numRef>
              <c:f>'9. List &amp; Calc'!$I$76:$I$81</c:f>
              <c:numCache>
                <c:formatCode>General</c:formatCode>
                <c:ptCount val="6"/>
                <c:pt idx="0">
                  <c:v>1</c:v>
                </c:pt>
                <c:pt idx="1">
                  <c:v>2</c:v>
                </c:pt>
                <c:pt idx="2">
                  <c:v>2</c:v>
                </c:pt>
                <c:pt idx="3">
                  <c:v>0</c:v>
                </c:pt>
                <c:pt idx="4">
                  <c:v>0</c:v>
                </c:pt>
                <c:pt idx="5">
                  <c:v>1</c:v>
                </c:pt>
              </c:numCache>
            </c:numRef>
          </c:val>
          <c:extLst>
            <c:ext xmlns:c16="http://schemas.microsoft.com/office/drawing/2014/chart" uri="{C3380CC4-5D6E-409C-BE32-E72D297353CC}">
              <c16:uniqueId val="{00000001-3028-4989-B5BF-54FA7FE83481}"/>
            </c:ext>
          </c:extLst>
        </c:ser>
        <c:dLbls>
          <c:showLegendKey val="0"/>
          <c:showVal val="0"/>
          <c:showCatName val="0"/>
          <c:showSerName val="0"/>
          <c:showPercent val="0"/>
          <c:showBubbleSize val="0"/>
        </c:dLbls>
        <c:gapWidth val="150"/>
        <c:shape val="box"/>
        <c:axId val="1029939087"/>
        <c:axId val="1029939567"/>
        <c:axId val="0"/>
      </c:bar3DChart>
      <c:catAx>
        <c:axId val="1029939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39567"/>
        <c:crosses val="autoZero"/>
        <c:auto val="1"/>
        <c:lblAlgn val="ctr"/>
        <c:lblOffset val="100"/>
        <c:noMultiLvlLbl val="0"/>
      </c:catAx>
      <c:valAx>
        <c:axId val="102993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39087"/>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Maintaince</a:t>
            </a:r>
            <a:r>
              <a:rPr lang="en-US" b="1" baseline="0"/>
              <a:t> &amp; Operation Phase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Current State</c:v>
          </c:tx>
          <c:spPr>
            <a:solidFill>
              <a:schemeClr val="accent1">
                <a:shade val="76000"/>
              </a:schemeClr>
            </a:solidFill>
            <a:ln>
              <a:noFill/>
            </a:ln>
            <a:effectLst/>
            <a:sp3d/>
          </c:spPr>
          <c:invertIfNegative val="0"/>
          <c:cat>
            <c:strRef>
              <c:f>'9. List &amp; Calc'!$D$82:$D$87</c:f>
              <c:strCache>
                <c:ptCount val="6"/>
                <c:pt idx="0">
                  <c:v>Incident Response &amp; Recovery</c:v>
                </c:pt>
                <c:pt idx="1">
                  <c:v>Vulnerability Management &amp; Patching</c:v>
                </c:pt>
                <c:pt idx="2">
                  <c:v>API Security</c:v>
                </c:pt>
                <c:pt idx="3">
                  <c:v>Environment Management &amp; Configuration</c:v>
                </c:pt>
                <c:pt idx="4">
                  <c:v>Vulnerability Disclosure &amp; Bug Bounty</c:v>
                </c:pt>
                <c:pt idx="5">
                  <c:v>Agentic AI Oversight &amp; Control</c:v>
                </c:pt>
              </c:strCache>
            </c:strRef>
          </c:cat>
          <c:val>
            <c:numRef>
              <c:f>'9. List &amp; Calc'!$G$82:$G$87</c:f>
              <c:numCache>
                <c:formatCode>General</c:formatCode>
                <c:ptCount val="6"/>
                <c:pt idx="0">
                  <c:v>3</c:v>
                </c:pt>
                <c:pt idx="1">
                  <c:v>2</c:v>
                </c:pt>
                <c:pt idx="2">
                  <c:v>1</c:v>
                </c:pt>
                <c:pt idx="3">
                  <c:v>2</c:v>
                </c:pt>
                <c:pt idx="4">
                  <c:v>5</c:v>
                </c:pt>
                <c:pt idx="5">
                  <c:v>2</c:v>
                </c:pt>
              </c:numCache>
            </c:numRef>
          </c:val>
          <c:extLst>
            <c:ext xmlns:c16="http://schemas.microsoft.com/office/drawing/2014/chart" uri="{C3380CC4-5D6E-409C-BE32-E72D297353CC}">
              <c16:uniqueId val="{00000000-280B-492B-A698-E86E302E374E}"/>
            </c:ext>
          </c:extLst>
        </c:ser>
        <c:ser>
          <c:idx val="1"/>
          <c:order val="1"/>
          <c:tx>
            <c:v>Target State</c:v>
          </c:tx>
          <c:spPr>
            <a:solidFill>
              <a:schemeClr val="accent1">
                <a:tint val="77000"/>
              </a:schemeClr>
            </a:solidFill>
            <a:ln>
              <a:noFill/>
            </a:ln>
            <a:effectLst/>
            <a:sp3d/>
          </c:spPr>
          <c:invertIfNegative val="0"/>
          <c:cat>
            <c:strRef>
              <c:f>'9. List &amp; Calc'!$D$82:$D$87</c:f>
              <c:strCache>
                <c:ptCount val="6"/>
                <c:pt idx="0">
                  <c:v>Incident Response &amp; Recovery</c:v>
                </c:pt>
                <c:pt idx="1">
                  <c:v>Vulnerability Management &amp; Patching</c:v>
                </c:pt>
                <c:pt idx="2">
                  <c:v>API Security</c:v>
                </c:pt>
                <c:pt idx="3">
                  <c:v>Environment Management &amp; Configuration</c:v>
                </c:pt>
                <c:pt idx="4">
                  <c:v>Vulnerability Disclosure &amp; Bug Bounty</c:v>
                </c:pt>
                <c:pt idx="5">
                  <c:v>Agentic AI Oversight &amp; Control</c:v>
                </c:pt>
              </c:strCache>
            </c:strRef>
          </c:cat>
          <c:val>
            <c:numRef>
              <c:f>'9. List &amp; Calc'!$I$82:$I$87</c:f>
              <c:numCache>
                <c:formatCode>General</c:formatCode>
                <c:ptCount val="6"/>
                <c:pt idx="0">
                  <c:v>1</c:v>
                </c:pt>
                <c:pt idx="1">
                  <c:v>2</c:v>
                </c:pt>
                <c:pt idx="2">
                  <c:v>1</c:v>
                </c:pt>
                <c:pt idx="3">
                  <c:v>1</c:v>
                </c:pt>
                <c:pt idx="4">
                  <c:v>0</c:v>
                </c:pt>
                <c:pt idx="5">
                  <c:v>1</c:v>
                </c:pt>
              </c:numCache>
            </c:numRef>
          </c:val>
          <c:extLst>
            <c:ext xmlns:c16="http://schemas.microsoft.com/office/drawing/2014/chart" uri="{C3380CC4-5D6E-409C-BE32-E72D297353CC}">
              <c16:uniqueId val="{00000001-280B-492B-A698-E86E302E374E}"/>
            </c:ext>
          </c:extLst>
        </c:ser>
        <c:dLbls>
          <c:showLegendKey val="0"/>
          <c:showVal val="0"/>
          <c:showCatName val="0"/>
          <c:showSerName val="0"/>
          <c:showPercent val="0"/>
          <c:showBubbleSize val="0"/>
        </c:dLbls>
        <c:gapWidth val="150"/>
        <c:shape val="box"/>
        <c:axId val="1302879519"/>
        <c:axId val="361929088"/>
        <c:axId val="0"/>
      </c:bar3DChart>
      <c:catAx>
        <c:axId val="1302879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29088"/>
        <c:crosses val="autoZero"/>
        <c:auto val="1"/>
        <c:lblAlgn val="ctr"/>
        <c:lblOffset val="100"/>
        <c:noMultiLvlLbl val="0"/>
      </c:catAx>
      <c:valAx>
        <c:axId val="36192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879519"/>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Application</a:t>
            </a:r>
            <a:r>
              <a:rPr lang="en-US" b="1" baseline="0"/>
              <a:t> Security Capabilities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Current State</c:v>
          </c:tx>
          <c:spPr>
            <a:solidFill>
              <a:schemeClr val="accent1">
                <a:shade val="76000"/>
              </a:schemeClr>
            </a:solidFill>
            <a:ln>
              <a:noFill/>
            </a:ln>
            <a:effectLst/>
            <a:sp3d/>
          </c:spPr>
          <c:invertIfNegative val="0"/>
          <c:cat>
            <c:strRef>
              <c:f>'9. List &amp; Calc'!$D$58:$D$87</c:f>
              <c:strCache>
                <c:ptCount val="30"/>
                <c:pt idx="0">
                  <c:v>Security Requirements Definition</c:v>
                </c:pt>
                <c:pt idx="1">
                  <c:v>Threat Modeling</c:v>
                </c:pt>
                <c:pt idx="2">
                  <c:v>Secure Architecture Design</c:v>
                </c:pt>
                <c:pt idx="3">
                  <c:v>Zero Trust Architecture</c:v>
                </c:pt>
                <c:pt idx="4">
                  <c:v>Secure AI/ML Design</c:v>
                </c:pt>
                <c:pt idx="5">
                  <c:v>AI/ML Training Data Collection Security</c:v>
                </c:pt>
                <c:pt idx="6">
                  <c:v>Secure Design Review &amp; Assurance</c:v>
                </c:pt>
                <c:pt idx="7">
                  <c:v>Secure Coding Practices &amp; Training</c:v>
                </c:pt>
                <c:pt idx="8">
                  <c:v>Secure Code Review &amp; Static Analysis</c:v>
                </c:pt>
                <c:pt idx="9">
                  <c:v>Software Supply Chain Security</c:v>
                </c:pt>
                <c:pt idx="10">
                  <c:v>Secure Build &amp; CI/CD Pipeline</c:v>
                </c:pt>
                <c:pt idx="11">
                  <c:v>Secure Version Control &amp; Repository Management</c:v>
                </c:pt>
                <c:pt idx="12">
                  <c:v>Secrets Management in Development</c:v>
                </c:pt>
                <c:pt idx="13">
                  <c:v>Automated Security Testing</c:v>
                </c:pt>
                <c:pt idx="14">
                  <c:v>Penetration Testing &amp; Red Teaming</c:v>
                </c:pt>
                <c:pt idx="15">
                  <c:v>Fuzz &amp; Chaos Testing</c:v>
                </c:pt>
                <c:pt idx="16">
                  <c:v>Security Requirements Validation</c:v>
                </c:pt>
                <c:pt idx="17">
                  <c:v>Secure Test Environments &amp; Data Management</c:v>
                </c:pt>
                <c:pt idx="18">
                  <c:v>Secure Deployment &amp; Infrastructure‑as‑Code (IaC)</c:v>
                </c:pt>
                <c:pt idx="19">
                  <c:v>Container &amp; Orchestrator Security</c:v>
                </c:pt>
                <c:pt idx="20">
                  <c:v>Policy‑as‑Code (PaC) Deployment</c:v>
                </c:pt>
                <c:pt idx="21">
                  <c:v>Artifact Signing &amp; Provenance</c:v>
                </c:pt>
                <c:pt idx="22">
                  <c:v>Deployment Security Gates &amp; Reviews</c:v>
                </c:pt>
                <c:pt idx="23">
                  <c:v>Security Monitoring &amp; Threat Detection</c:v>
                </c:pt>
                <c:pt idx="24">
                  <c:v>Incident Response &amp; Recovery</c:v>
                </c:pt>
                <c:pt idx="25">
                  <c:v>Vulnerability Management &amp; Patching</c:v>
                </c:pt>
                <c:pt idx="26">
                  <c:v>API Security</c:v>
                </c:pt>
                <c:pt idx="27">
                  <c:v>Environment Management &amp; Configuration</c:v>
                </c:pt>
                <c:pt idx="28">
                  <c:v>Vulnerability Disclosure &amp; Bug Bounty</c:v>
                </c:pt>
                <c:pt idx="29">
                  <c:v>Agentic AI Oversight &amp; Control</c:v>
                </c:pt>
              </c:strCache>
            </c:strRef>
          </c:cat>
          <c:val>
            <c:numRef>
              <c:f>'9. List &amp; Calc'!$G$58:$G$87</c:f>
              <c:numCache>
                <c:formatCode>General</c:formatCode>
                <c:ptCount val="30"/>
                <c:pt idx="0">
                  <c:v>2</c:v>
                </c:pt>
                <c:pt idx="1">
                  <c:v>3</c:v>
                </c:pt>
                <c:pt idx="2">
                  <c:v>1</c:v>
                </c:pt>
                <c:pt idx="3">
                  <c:v>2</c:v>
                </c:pt>
                <c:pt idx="4">
                  <c:v>2</c:v>
                </c:pt>
                <c:pt idx="5">
                  <c:v>1</c:v>
                </c:pt>
                <c:pt idx="6">
                  <c:v>2</c:v>
                </c:pt>
                <c:pt idx="7">
                  <c:v>2</c:v>
                </c:pt>
                <c:pt idx="8">
                  <c:v>2</c:v>
                </c:pt>
                <c:pt idx="9">
                  <c:v>1</c:v>
                </c:pt>
                <c:pt idx="10">
                  <c:v>2</c:v>
                </c:pt>
                <c:pt idx="11">
                  <c:v>1</c:v>
                </c:pt>
                <c:pt idx="12">
                  <c:v>3</c:v>
                </c:pt>
                <c:pt idx="13">
                  <c:v>3</c:v>
                </c:pt>
                <c:pt idx="14">
                  <c:v>2</c:v>
                </c:pt>
                <c:pt idx="15">
                  <c:v>2</c:v>
                </c:pt>
                <c:pt idx="16">
                  <c:v>1</c:v>
                </c:pt>
                <c:pt idx="17">
                  <c:v>0</c:v>
                </c:pt>
                <c:pt idx="18">
                  <c:v>4</c:v>
                </c:pt>
                <c:pt idx="19">
                  <c:v>1</c:v>
                </c:pt>
                <c:pt idx="20">
                  <c:v>2</c:v>
                </c:pt>
                <c:pt idx="21">
                  <c:v>1</c:v>
                </c:pt>
                <c:pt idx="22">
                  <c:v>5</c:v>
                </c:pt>
                <c:pt idx="23">
                  <c:v>4</c:v>
                </c:pt>
                <c:pt idx="24">
                  <c:v>3</c:v>
                </c:pt>
                <c:pt idx="25">
                  <c:v>2</c:v>
                </c:pt>
                <c:pt idx="26">
                  <c:v>1</c:v>
                </c:pt>
                <c:pt idx="27">
                  <c:v>2</c:v>
                </c:pt>
                <c:pt idx="28">
                  <c:v>5</c:v>
                </c:pt>
                <c:pt idx="29">
                  <c:v>2</c:v>
                </c:pt>
              </c:numCache>
            </c:numRef>
          </c:val>
          <c:extLst>
            <c:ext xmlns:c16="http://schemas.microsoft.com/office/drawing/2014/chart" uri="{C3380CC4-5D6E-409C-BE32-E72D297353CC}">
              <c16:uniqueId val="{00000000-5E64-43B5-9DE7-4319D8D52BFE}"/>
            </c:ext>
          </c:extLst>
        </c:ser>
        <c:ser>
          <c:idx val="1"/>
          <c:order val="1"/>
          <c:tx>
            <c:v>Target State</c:v>
          </c:tx>
          <c:spPr>
            <a:solidFill>
              <a:schemeClr val="accent1">
                <a:tint val="77000"/>
              </a:schemeClr>
            </a:solidFill>
            <a:ln>
              <a:noFill/>
            </a:ln>
            <a:effectLst/>
            <a:sp3d/>
          </c:spPr>
          <c:invertIfNegative val="0"/>
          <c:cat>
            <c:strRef>
              <c:f>'9. List &amp; Calc'!$D$58:$D$87</c:f>
              <c:strCache>
                <c:ptCount val="30"/>
                <c:pt idx="0">
                  <c:v>Security Requirements Definition</c:v>
                </c:pt>
                <c:pt idx="1">
                  <c:v>Threat Modeling</c:v>
                </c:pt>
                <c:pt idx="2">
                  <c:v>Secure Architecture Design</c:v>
                </c:pt>
                <c:pt idx="3">
                  <c:v>Zero Trust Architecture</c:v>
                </c:pt>
                <c:pt idx="4">
                  <c:v>Secure AI/ML Design</c:v>
                </c:pt>
                <c:pt idx="5">
                  <c:v>AI/ML Training Data Collection Security</c:v>
                </c:pt>
                <c:pt idx="6">
                  <c:v>Secure Design Review &amp; Assurance</c:v>
                </c:pt>
                <c:pt idx="7">
                  <c:v>Secure Coding Practices &amp; Training</c:v>
                </c:pt>
                <c:pt idx="8">
                  <c:v>Secure Code Review &amp; Static Analysis</c:v>
                </c:pt>
                <c:pt idx="9">
                  <c:v>Software Supply Chain Security</c:v>
                </c:pt>
                <c:pt idx="10">
                  <c:v>Secure Build &amp; CI/CD Pipeline</c:v>
                </c:pt>
                <c:pt idx="11">
                  <c:v>Secure Version Control &amp; Repository Management</c:v>
                </c:pt>
                <c:pt idx="12">
                  <c:v>Secrets Management in Development</c:v>
                </c:pt>
                <c:pt idx="13">
                  <c:v>Automated Security Testing</c:v>
                </c:pt>
                <c:pt idx="14">
                  <c:v>Penetration Testing &amp; Red Teaming</c:v>
                </c:pt>
                <c:pt idx="15">
                  <c:v>Fuzz &amp; Chaos Testing</c:v>
                </c:pt>
                <c:pt idx="16">
                  <c:v>Security Requirements Validation</c:v>
                </c:pt>
                <c:pt idx="17">
                  <c:v>Secure Test Environments &amp; Data Management</c:v>
                </c:pt>
                <c:pt idx="18">
                  <c:v>Secure Deployment &amp; Infrastructure‑as‑Code (IaC)</c:v>
                </c:pt>
                <c:pt idx="19">
                  <c:v>Container &amp; Orchestrator Security</c:v>
                </c:pt>
                <c:pt idx="20">
                  <c:v>Policy‑as‑Code (PaC) Deployment</c:v>
                </c:pt>
                <c:pt idx="21">
                  <c:v>Artifact Signing &amp; Provenance</c:v>
                </c:pt>
                <c:pt idx="22">
                  <c:v>Deployment Security Gates &amp; Reviews</c:v>
                </c:pt>
                <c:pt idx="23">
                  <c:v>Security Monitoring &amp; Threat Detection</c:v>
                </c:pt>
                <c:pt idx="24">
                  <c:v>Incident Response &amp; Recovery</c:v>
                </c:pt>
                <c:pt idx="25">
                  <c:v>Vulnerability Management &amp; Patching</c:v>
                </c:pt>
                <c:pt idx="26">
                  <c:v>API Security</c:v>
                </c:pt>
                <c:pt idx="27">
                  <c:v>Environment Management &amp; Configuration</c:v>
                </c:pt>
                <c:pt idx="28">
                  <c:v>Vulnerability Disclosure &amp; Bug Bounty</c:v>
                </c:pt>
                <c:pt idx="29">
                  <c:v>Agentic AI Oversight &amp; Control</c:v>
                </c:pt>
              </c:strCache>
            </c:strRef>
          </c:cat>
          <c:val>
            <c:numRef>
              <c:f>'9. List &amp; Calc'!$I$58:$I$87</c:f>
              <c:numCache>
                <c:formatCode>General</c:formatCode>
                <c:ptCount val="30"/>
                <c:pt idx="0">
                  <c:v>1</c:v>
                </c:pt>
                <c:pt idx="1">
                  <c:v>1</c:v>
                </c:pt>
                <c:pt idx="2">
                  <c:v>0</c:v>
                </c:pt>
                <c:pt idx="3">
                  <c:v>1</c:v>
                </c:pt>
                <c:pt idx="4">
                  <c:v>1</c:v>
                </c:pt>
                <c:pt idx="5">
                  <c:v>3</c:v>
                </c:pt>
                <c:pt idx="6">
                  <c:v>0</c:v>
                </c:pt>
                <c:pt idx="7">
                  <c:v>2</c:v>
                </c:pt>
                <c:pt idx="8">
                  <c:v>2</c:v>
                </c:pt>
                <c:pt idx="9">
                  <c:v>0</c:v>
                </c:pt>
                <c:pt idx="10">
                  <c:v>1</c:v>
                </c:pt>
                <c:pt idx="11">
                  <c:v>2</c:v>
                </c:pt>
                <c:pt idx="12">
                  <c:v>1</c:v>
                </c:pt>
                <c:pt idx="13">
                  <c:v>2</c:v>
                </c:pt>
                <c:pt idx="14">
                  <c:v>1</c:v>
                </c:pt>
                <c:pt idx="15">
                  <c:v>1</c:v>
                </c:pt>
                <c:pt idx="16">
                  <c:v>1</c:v>
                </c:pt>
                <c:pt idx="17">
                  <c:v>1</c:v>
                </c:pt>
                <c:pt idx="18">
                  <c:v>1</c:v>
                </c:pt>
                <c:pt idx="19">
                  <c:v>2</c:v>
                </c:pt>
                <c:pt idx="20">
                  <c:v>2</c:v>
                </c:pt>
                <c:pt idx="21">
                  <c:v>0</c:v>
                </c:pt>
                <c:pt idx="22">
                  <c:v>0</c:v>
                </c:pt>
                <c:pt idx="23">
                  <c:v>1</c:v>
                </c:pt>
                <c:pt idx="24">
                  <c:v>1</c:v>
                </c:pt>
                <c:pt idx="25">
                  <c:v>2</c:v>
                </c:pt>
                <c:pt idx="26">
                  <c:v>1</c:v>
                </c:pt>
                <c:pt idx="27">
                  <c:v>1</c:v>
                </c:pt>
                <c:pt idx="28">
                  <c:v>0</c:v>
                </c:pt>
                <c:pt idx="29">
                  <c:v>1</c:v>
                </c:pt>
              </c:numCache>
            </c:numRef>
          </c:val>
          <c:extLst>
            <c:ext xmlns:c16="http://schemas.microsoft.com/office/drawing/2014/chart" uri="{C3380CC4-5D6E-409C-BE32-E72D297353CC}">
              <c16:uniqueId val="{00000001-5E64-43B5-9DE7-4319D8D52BFE}"/>
            </c:ext>
          </c:extLst>
        </c:ser>
        <c:dLbls>
          <c:showLegendKey val="0"/>
          <c:showVal val="0"/>
          <c:showCatName val="0"/>
          <c:showSerName val="0"/>
          <c:showPercent val="0"/>
          <c:showBubbleSize val="0"/>
        </c:dLbls>
        <c:gapWidth val="150"/>
        <c:shape val="box"/>
        <c:axId val="1022741471"/>
        <c:axId val="1022737151"/>
        <c:axId val="0"/>
      </c:bar3DChart>
      <c:catAx>
        <c:axId val="1022741471"/>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737151"/>
        <c:crosses val="autoZero"/>
        <c:auto val="1"/>
        <c:lblAlgn val="ctr"/>
        <c:lblOffset val="100"/>
        <c:noMultiLvlLbl val="0"/>
      </c:catAx>
      <c:valAx>
        <c:axId val="102273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741471"/>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Capabilites by Priority Ranking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c:v>
              </c:pt>
              <c:pt idx="1">
                <c:v>Low</c:v>
              </c:pt>
              <c:pt idx="2">
                <c:v>Medium</c:v>
              </c:pt>
            </c:strLit>
          </c:cat>
          <c:val>
            <c:numLit>
              <c:formatCode>General</c:formatCode>
              <c:ptCount val="3"/>
              <c:pt idx="0">
                <c:v>1</c:v>
              </c:pt>
              <c:pt idx="1">
                <c:v>12</c:v>
              </c:pt>
              <c:pt idx="2">
                <c:v>17</c:v>
              </c:pt>
            </c:numLit>
          </c:val>
          <c:extLst>
            <c:ext xmlns:c16="http://schemas.microsoft.com/office/drawing/2014/chart" uri="{C3380CC4-5D6E-409C-BE32-E72D297353CC}">
              <c16:uniqueId val="{00000000-7D76-4FD5-8792-BC31534FA2A2}"/>
            </c:ext>
          </c:extLst>
        </c:ser>
        <c:dLbls>
          <c:dLblPos val="outEnd"/>
          <c:showLegendKey val="0"/>
          <c:showVal val="1"/>
          <c:showCatName val="0"/>
          <c:showSerName val="0"/>
          <c:showPercent val="0"/>
          <c:showBubbleSize val="0"/>
        </c:dLbls>
        <c:gapWidth val="219"/>
        <c:overlap val="-27"/>
        <c:axId val="1029938127"/>
        <c:axId val="1029939087"/>
      </c:barChart>
      <c:catAx>
        <c:axId val="102993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39087"/>
        <c:crosses val="autoZero"/>
        <c:auto val="1"/>
        <c:lblAlgn val="ctr"/>
        <c:lblOffset val="100"/>
        <c:noMultiLvlLbl val="0"/>
      </c:catAx>
      <c:valAx>
        <c:axId val="102993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38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Capability</a:t>
            </a:r>
            <a:r>
              <a:rPr lang="en-US" baseline="0"/>
              <a:t> Priority by Phase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High Priority</c:v>
          </c:tx>
          <c:spPr>
            <a:solidFill>
              <a:schemeClr val="accent1">
                <a:shade val="65000"/>
              </a:schemeClr>
            </a:solidFill>
            <a:ln>
              <a:noFill/>
            </a:ln>
            <a:effectLst/>
            <a:sp3d/>
          </c:spPr>
          <c:invertIfNegative val="0"/>
          <c:cat>
            <c:strRef>
              <c:f>'9. List &amp; Calc'!$B$126:$B$130</c:f>
              <c:strCache>
                <c:ptCount val="5"/>
                <c:pt idx="0">
                  <c:v>Analyze &amp; Design</c:v>
                </c:pt>
                <c:pt idx="1">
                  <c:v>Build</c:v>
                </c:pt>
                <c:pt idx="2">
                  <c:v>Test</c:v>
                </c:pt>
                <c:pt idx="3">
                  <c:v>Deploy</c:v>
                </c:pt>
                <c:pt idx="4">
                  <c:v>Maintenance &amp; Operations</c:v>
                </c:pt>
              </c:strCache>
            </c:strRef>
          </c:cat>
          <c:val>
            <c:numRef>
              <c:f>'9. List &amp; Calc'!$W$126:$W$130</c:f>
              <c:numCache>
                <c:formatCode>General</c:formatCode>
                <c:ptCount val="5"/>
                <c:pt idx="0">
                  <c:v>0</c:v>
                </c:pt>
                <c:pt idx="1">
                  <c:v>1</c:v>
                </c:pt>
                <c:pt idx="2">
                  <c:v>0</c:v>
                </c:pt>
                <c:pt idx="3">
                  <c:v>0</c:v>
                </c:pt>
                <c:pt idx="4">
                  <c:v>1</c:v>
                </c:pt>
              </c:numCache>
            </c:numRef>
          </c:val>
          <c:extLst>
            <c:ext xmlns:c16="http://schemas.microsoft.com/office/drawing/2014/chart" uri="{C3380CC4-5D6E-409C-BE32-E72D297353CC}">
              <c16:uniqueId val="{00000000-A8A8-4AF2-9191-8E4DB24A938A}"/>
            </c:ext>
          </c:extLst>
        </c:ser>
        <c:ser>
          <c:idx val="1"/>
          <c:order val="1"/>
          <c:tx>
            <c:v>Medium Priority</c:v>
          </c:tx>
          <c:spPr>
            <a:solidFill>
              <a:schemeClr val="accent1"/>
            </a:solidFill>
            <a:ln>
              <a:noFill/>
            </a:ln>
            <a:effectLst/>
            <a:sp3d/>
          </c:spPr>
          <c:invertIfNegative val="0"/>
          <c:cat>
            <c:strRef>
              <c:f>'9. List &amp; Calc'!$B$126:$B$130</c:f>
              <c:strCache>
                <c:ptCount val="5"/>
                <c:pt idx="0">
                  <c:v>Analyze &amp; Design</c:v>
                </c:pt>
                <c:pt idx="1">
                  <c:v>Build</c:v>
                </c:pt>
                <c:pt idx="2">
                  <c:v>Test</c:v>
                </c:pt>
                <c:pt idx="3">
                  <c:v>Deploy</c:v>
                </c:pt>
                <c:pt idx="4">
                  <c:v>Maintenance &amp; Operations</c:v>
                </c:pt>
              </c:strCache>
            </c:strRef>
          </c:cat>
          <c:val>
            <c:numRef>
              <c:f>'9. List &amp; Calc'!$X$126:$X$130</c:f>
              <c:numCache>
                <c:formatCode>General</c:formatCode>
                <c:ptCount val="5"/>
                <c:pt idx="0">
                  <c:v>5</c:v>
                </c:pt>
                <c:pt idx="1">
                  <c:v>3</c:v>
                </c:pt>
                <c:pt idx="2">
                  <c:v>4</c:v>
                </c:pt>
                <c:pt idx="3">
                  <c:v>5</c:v>
                </c:pt>
                <c:pt idx="4">
                  <c:v>2</c:v>
                </c:pt>
              </c:numCache>
            </c:numRef>
          </c:val>
          <c:extLst>
            <c:ext xmlns:c16="http://schemas.microsoft.com/office/drawing/2014/chart" uri="{C3380CC4-5D6E-409C-BE32-E72D297353CC}">
              <c16:uniqueId val="{00000001-A8A8-4AF2-9191-8E4DB24A938A}"/>
            </c:ext>
          </c:extLst>
        </c:ser>
        <c:ser>
          <c:idx val="2"/>
          <c:order val="2"/>
          <c:tx>
            <c:v>Low Priority</c:v>
          </c:tx>
          <c:spPr>
            <a:solidFill>
              <a:schemeClr val="accent1">
                <a:tint val="65000"/>
              </a:schemeClr>
            </a:solidFill>
            <a:ln>
              <a:noFill/>
            </a:ln>
            <a:effectLst/>
            <a:sp3d/>
          </c:spPr>
          <c:invertIfNegative val="0"/>
          <c:cat>
            <c:strRef>
              <c:f>'9. List &amp; Calc'!$B$126:$B$130</c:f>
              <c:strCache>
                <c:ptCount val="5"/>
                <c:pt idx="0">
                  <c:v>Analyze &amp; Design</c:v>
                </c:pt>
                <c:pt idx="1">
                  <c:v>Build</c:v>
                </c:pt>
                <c:pt idx="2">
                  <c:v>Test</c:v>
                </c:pt>
                <c:pt idx="3">
                  <c:v>Deploy</c:v>
                </c:pt>
                <c:pt idx="4">
                  <c:v>Maintenance &amp; Operations</c:v>
                </c:pt>
              </c:strCache>
            </c:strRef>
          </c:cat>
          <c:val>
            <c:numRef>
              <c:f>'9. List &amp; Calc'!$Y$126:$Y$130</c:f>
              <c:numCache>
                <c:formatCode>General</c:formatCode>
                <c:ptCount val="5"/>
                <c:pt idx="0">
                  <c:v>2</c:v>
                </c:pt>
                <c:pt idx="1">
                  <c:v>2</c:v>
                </c:pt>
                <c:pt idx="2">
                  <c:v>1</c:v>
                </c:pt>
                <c:pt idx="3">
                  <c:v>1</c:v>
                </c:pt>
                <c:pt idx="4">
                  <c:v>3</c:v>
                </c:pt>
              </c:numCache>
            </c:numRef>
          </c:val>
          <c:extLst>
            <c:ext xmlns:c16="http://schemas.microsoft.com/office/drawing/2014/chart" uri="{C3380CC4-5D6E-409C-BE32-E72D297353CC}">
              <c16:uniqueId val="{00000002-A8A8-4AF2-9191-8E4DB24A938A}"/>
            </c:ext>
          </c:extLst>
        </c:ser>
        <c:dLbls>
          <c:showLegendKey val="0"/>
          <c:showVal val="0"/>
          <c:showCatName val="0"/>
          <c:showSerName val="0"/>
          <c:showPercent val="0"/>
          <c:showBubbleSize val="0"/>
        </c:dLbls>
        <c:gapWidth val="150"/>
        <c:shape val="box"/>
        <c:axId val="1097038896"/>
        <c:axId val="1097028816"/>
        <c:axId val="0"/>
      </c:bar3DChart>
      <c:catAx>
        <c:axId val="109703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028816"/>
        <c:crosses val="autoZero"/>
        <c:auto val="1"/>
        <c:lblAlgn val="ctr"/>
        <c:lblOffset val="100"/>
        <c:noMultiLvlLbl val="0"/>
      </c:catAx>
      <c:valAx>
        <c:axId val="109702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038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Application</a:t>
            </a:r>
            <a:r>
              <a:rPr lang="en-US" b="1" baseline="0"/>
              <a:t> Security (Current State Capabilities)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Current State</c:v>
          </c:tx>
          <c:spPr>
            <a:solidFill>
              <a:schemeClr val="accent1"/>
            </a:solidFill>
            <a:ln>
              <a:noFill/>
            </a:ln>
            <a:effectLst/>
            <a:sp3d/>
          </c:spPr>
          <c:invertIfNegative val="0"/>
          <c:cat>
            <c:strRef>
              <c:f>'9. List &amp; Calc'!$D$58:$D$87</c:f>
              <c:strCache>
                <c:ptCount val="30"/>
                <c:pt idx="0">
                  <c:v>Security Requirements Definition</c:v>
                </c:pt>
                <c:pt idx="1">
                  <c:v>Threat Modeling</c:v>
                </c:pt>
                <c:pt idx="2">
                  <c:v>Secure Architecture Design</c:v>
                </c:pt>
                <c:pt idx="3">
                  <c:v>Zero Trust Architecture</c:v>
                </c:pt>
                <c:pt idx="4">
                  <c:v>Secure AI/ML Design</c:v>
                </c:pt>
                <c:pt idx="5">
                  <c:v>AI/ML Training Data Collection Security</c:v>
                </c:pt>
                <c:pt idx="6">
                  <c:v>Secure Design Review &amp; Assurance</c:v>
                </c:pt>
                <c:pt idx="7">
                  <c:v>Secure Coding Practices &amp; Training</c:v>
                </c:pt>
                <c:pt idx="8">
                  <c:v>Secure Code Review &amp; Static Analysis</c:v>
                </c:pt>
                <c:pt idx="9">
                  <c:v>Software Supply Chain Security</c:v>
                </c:pt>
                <c:pt idx="10">
                  <c:v>Secure Build &amp; CI/CD Pipeline</c:v>
                </c:pt>
                <c:pt idx="11">
                  <c:v>Secure Version Control &amp; Repository Management</c:v>
                </c:pt>
                <c:pt idx="12">
                  <c:v>Secrets Management in Development</c:v>
                </c:pt>
                <c:pt idx="13">
                  <c:v>Automated Security Testing</c:v>
                </c:pt>
                <c:pt idx="14">
                  <c:v>Penetration Testing &amp; Red Teaming</c:v>
                </c:pt>
                <c:pt idx="15">
                  <c:v>Fuzz &amp; Chaos Testing</c:v>
                </c:pt>
                <c:pt idx="16">
                  <c:v>Security Requirements Validation</c:v>
                </c:pt>
                <c:pt idx="17">
                  <c:v>Secure Test Environments &amp; Data Management</c:v>
                </c:pt>
                <c:pt idx="18">
                  <c:v>Secure Deployment &amp; Infrastructure‑as‑Code (IaC)</c:v>
                </c:pt>
                <c:pt idx="19">
                  <c:v>Container &amp; Orchestrator Security</c:v>
                </c:pt>
                <c:pt idx="20">
                  <c:v>Policy‑as‑Code (PaC) Deployment</c:v>
                </c:pt>
                <c:pt idx="21">
                  <c:v>Artifact Signing &amp; Provenance</c:v>
                </c:pt>
                <c:pt idx="22">
                  <c:v>Deployment Security Gates &amp; Reviews</c:v>
                </c:pt>
                <c:pt idx="23">
                  <c:v>Security Monitoring &amp; Threat Detection</c:v>
                </c:pt>
                <c:pt idx="24">
                  <c:v>Incident Response &amp; Recovery</c:v>
                </c:pt>
                <c:pt idx="25">
                  <c:v>Vulnerability Management &amp; Patching</c:v>
                </c:pt>
                <c:pt idx="26">
                  <c:v>API Security</c:v>
                </c:pt>
                <c:pt idx="27">
                  <c:v>Environment Management &amp; Configuration</c:v>
                </c:pt>
                <c:pt idx="28">
                  <c:v>Vulnerability Disclosure &amp; Bug Bounty</c:v>
                </c:pt>
                <c:pt idx="29">
                  <c:v>Agentic AI Oversight &amp; Control</c:v>
                </c:pt>
              </c:strCache>
            </c:strRef>
          </c:cat>
          <c:val>
            <c:numRef>
              <c:f>'9. List &amp; Calc'!$G$58:$G$87</c:f>
              <c:numCache>
                <c:formatCode>General</c:formatCode>
                <c:ptCount val="30"/>
                <c:pt idx="0">
                  <c:v>2</c:v>
                </c:pt>
                <c:pt idx="1">
                  <c:v>3</c:v>
                </c:pt>
                <c:pt idx="2">
                  <c:v>1</c:v>
                </c:pt>
                <c:pt idx="3">
                  <c:v>2</c:v>
                </c:pt>
                <c:pt idx="4">
                  <c:v>2</c:v>
                </c:pt>
                <c:pt idx="5">
                  <c:v>1</c:v>
                </c:pt>
                <c:pt idx="6">
                  <c:v>2</c:v>
                </c:pt>
                <c:pt idx="7">
                  <c:v>2</c:v>
                </c:pt>
                <c:pt idx="8">
                  <c:v>2</c:v>
                </c:pt>
                <c:pt idx="9">
                  <c:v>1</c:v>
                </c:pt>
                <c:pt idx="10">
                  <c:v>2</c:v>
                </c:pt>
                <c:pt idx="11">
                  <c:v>1</c:v>
                </c:pt>
                <c:pt idx="12">
                  <c:v>3</c:v>
                </c:pt>
                <c:pt idx="13">
                  <c:v>3</c:v>
                </c:pt>
                <c:pt idx="14">
                  <c:v>2</c:v>
                </c:pt>
                <c:pt idx="15">
                  <c:v>2</c:v>
                </c:pt>
                <c:pt idx="16">
                  <c:v>1</c:v>
                </c:pt>
                <c:pt idx="17">
                  <c:v>0</c:v>
                </c:pt>
                <c:pt idx="18">
                  <c:v>4</c:v>
                </c:pt>
                <c:pt idx="19">
                  <c:v>1</c:v>
                </c:pt>
                <c:pt idx="20">
                  <c:v>2</c:v>
                </c:pt>
                <c:pt idx="21">
                  <c:v>1</c:v>
                </c:pt>
                <c:pt idx="22">
                  <c:v>5</c:v>
                </c:pt>
                <c:pt idx="23">
                  <c:v>4</c:v>
                </c:pt>
                <c:pt idx="24">
                  <c:v>3</c:v>
                </c:pt>
                <c:pt idx="25">
                  <c:v>2</c:v>
                </c:pt>
                <c:pt idx="26">
                  <c:v>1</c:v>
                </c:pt>
                <c:pt idx="27">
                  <c:v>2</c:v>
                </c:pt>
                <c:pt idx="28">
                  <c:v>5</c:v>
                </c:pt>
                <c:pt idx="29">
                  <c:v>2</c:v>
                </c:pt>
              </c:numCache>
            </c:numRef>
          </c:val>
          <c:extLst>
            <c:ext xmlns:c16="http://schemas.microsoft.com/office/drawing/2014/chart" uri="{C3380CC4-5D6E-409C-BE32-E72D297353CC}">
              <c16:uniqueId val="{00000000-0610-4749-A1A2-5FB483E744E3}"/>
            </c:ext>
          </c:extLst>
        </c:ser>
        <c:dLbls>
          <c:showLegendKey val="0"/>
          <c:showVal val="0"/>
          <c:showCatName val="0"/>
          <c:showSerName val="0"/>
          <c:showPercent val="0"/>
          <c:showBubbleSize val="0"/>
        </c:dLbls>
        <c:gapWidth val="150"/>
        <c:shape val="box"/>
        <c:axId val="1022741471"/>
        <c:axId val="1022737151"/>
        <c:axId val="0"/>
      </c:bar3DChart>
      <c:catAx>
        <c:axId val="1022741471"/>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737151"/>
        <c:crosses val="autoZero"/>
        <c:auto val="1"/>
        <c:lblAlgn val="ctr"/>
        <c:lblOffset val="100"/>
        <c:noMultiLvlLbl val="0"/>
      </c:catAx>
      <c:valAx>
        <c:axId val="102273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741471"/>
        <c:crosses val="autoZero"/>
        <c:crossBetween val="between"/>
        <c:majorUnit val="1"/>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0</xdr:rowOff>
    </xdr:from>
    <xdr:to>
      <xdr:col>14</xdr:col>
      <xdr:colOff>9525</xdr:colOff>
      <xdr:row>1</xdr:row>
      <xdr:rowOff>1350</xdr:rowOff>
    </xdr:to>
    <xdr:pic>
      <xdr:nvPicPr>
        <xdr:cNvPr id="5" name="Picture 4" descr="Excel Header.jpg">
          <a:extLst>
            <a:ext uri="{FF2B5EF4-FFF2-40B4-BE49-F238E27FC236}">
              <a16:creationId xmlns:a16="http://schemas.microsoft.com/office/drawing/2014/main" id="{D7C611A8-81A8-4C47-9C15-857BE3F63D57}"/>
            </a:ext>
          </a:extLst>
        </xdr:cNvPr>
        <xdr:cNvPicPr>
          <a:picLocks noChangeAspect="1"/>
        </xdr:cNvPicPr>
      </xdr:nvPicPr>
      <xdr:blipFill>
        <a:blip xmlns:r="http://schemas.openxmlformats.org/officeDocument/2006/relationships" r:embed="rId1" cstate="print"/>
        <a:stretch>
          <a:fillRect/>
        </a:stretch>
      </xdr:blipFill>
      <xdr:spPr>
        <a:xfrm>
          <a:off x="285750" y="0"/>
          <a:ext cx="8915400" cy="620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371475</xdr:colOff>
      <xdr:row>53</xdr:row>
      <xdr:rowOff>38100</xdr:rowOff>
    </xdr:from>
    <xdr:to>
      <xdr:col>34</xdr:col>
      <xdr:colOff>352425</xdr:colOff>
      <xdr:row>72</xdr:row>
      <xdr:rowOff>131764</xdr:rowOff>
    </xdr:to>
    <xdr:graphicFrame macro="">
      <xdr:nvGraphicFramePr>
        <xdr:cNvPr id="3" name="Chart 2">
          <a:extLst>
            <a:ext uri="{FF2B5EF4-FFF2-40B4-BE49-F238E27FC236}">
              <a16:creationId xmlns:a16="http://schemas.microsoft.com/office/drawing/2014/main" id="{8C8E8812-E427-4706-94FE-D8AAE3367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53</xdr:row>
      <xdr:rowOff>38100</xdr:rowOff>
    </xdr:from>
    <xdr:to>
      <xdr:col>14</xdr:col>
      <xdr:colOff>549275</xdr:colOff>
      <xdr:row>68</xdr:row>
      <xdr:rowOff>77788</xdr:rowOff>
    </xdr:to>
    <xdr:graphicFrame macro="">
      <xdr:nvGraphicFramePr>
        <xdr:cNvPr id="4" name="Chart 3">
          <a:extLst>
            <a:ext uri="{FF2B5EF4-FFF2-40B4-BE49-F238E27FC236}">
              <a16:creationId xmlns:a16="http://schemas.microsoft.com/office/drawing/2014/main" id="{02A448D6-4527-4662-8CCB-1ACD64C5E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19049</xdr:colOff>
      <xdr:row>33</xdr:row>
      <xdr:rowOff>38099</xdr:rowOff>
    </xdr:from>
    <xdr:to>
      <xdr:col>14</xdr:col>
      <xdr:colOff>514349</xdr:colOff>
      <xdr:row>51</xdr:row>
      <xdr:rowOff>161924</xdr:rowOff>
    </xdr:to>
    <xdr:graphicFrame macro="">
      <xdr:nvGraphicFramePr>
        <xdr:cNvPr id="5" name="Chart 4">
          <a:extLst>
            <a:ext uri="{FF2B5EF4-FFF2-40B4-BE49-F238E27FC236}">
              <a16:creationId xmlns:a16="http://schemas.microsoft.com/office/drawing/2014/main" id="{9E4460FE-E412-44CC-835E-DF77A7432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191875</xdr:colOff>
      <xdr:row>76</xdr:row>
      <xdr:rowOff>17972</xdr:rowOff>
    </xdr:from>
    <xdr:to>
      <xdr:col>31</xdr:col>
      <xdr:colOff>10063</xdr:colOff>
      <xdr:row>96</xdr:row>
      <xdr:rowOff>179</xdr:rowOff>
    </xdr:to>
    <xdr:graphicFrame macro="">
      <xdr:nvGraphicFramePr>
        <xdr:cNvPr id="26" name="Chart 5">
          <a:extLst>
            <a:ext uri="{FF2B5EF4-FFF2-40B4-BE49-F238E27FC236}">
              <a16:creationId xmlns:a16="http://schemas.microsoft.com/office/drawing/2014/main" id="{01C05977-7336-4419-B1C2-66B2DFE80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377825</xdr:colOff>
      <xdr:row>76</xdr:row>
      <xdr:rowOff>47625</xdr:rowOff>
    </xdr:from>
    <xdr:to>
      <xdr:col>46</xdr:col>
      <xdr:colOff>596900</xdr:colOff>
      <xdr:row>95</xdr:row>
      <xdr:rowOff>15875</xdr:rowOff>
    </xdr:to>
    <xdr:graphicFrame macro="">
      <xdr:nvGraphicFramePr>
        <xdr:cNvPr id="8" name="Chart 7">
          <a:extLst>
            <a:ext uri="{FF2B5EF4-FFF2-40B4-BE49-F238E27FC236}">
              <a16:creationId xmlns:a16="http://schemas.microsoft.com/office/drawing/2014/main" id="{5D35FD30-56FA-40EF-8A58-00E950A23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200024</xdr:colOff>
      <xdr:row>96</xdr:row>
      <xdr:rowOff>95249</xdr:rowOff>
    </xdr:from>
    <xdr:to>
      <xdr:col>24</xdr:col>
      <xdr:colOff>152399</xdr:colOff>
      <xdr:row>112</xdr:row>
      <xdr:rowOff>152400</xdr:rowOff>
    </xdr:to>
    <xdr:graphicFrame macro="">
      <xdr:nvGraphicFramePr>
        <xdr:cNvPr id="9" name="Chart 8">
          <a:extLst>
            <a:ext uri="{FF2B5EF4-FFF2-40B4-BE49-F238E27FC236}">
              <a16:creationId xmlns:a16="http://schemas.microsoft.com/office/drawing/2014/main" id="{C4D7B829-D5DE-4A18-BFA9-61E753A7B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400051</xdr:colOff>
      <xdr:row>96</xdr:row>
      <xdr:rowOff>60324</xdr:rowOff>
    </xdr:from>
    <xdr:to>
      <xdr:col>46</xdr:col>
      <xdr:colOff>581026</xdr:colOff>
      <xdr:row>112</xdr:row>
      <xdr:rowOff>34925</xdr:rowOff>
    </xdr:to>
    <xdr:graphicFrame macro="">
      <xdr:nvGraphicFramePr>
        <xdr:cNvPr id="10" name="Chart 9">
          <a:extLst>
            <a:ext uri="{FF2B5EF4-FFF2-40B4-BE49-F238E27FC236}">
              <a16:creationId xmlns:a16="http://schemas.microsoft.com/office/drawing/2014/main" id="{B4F1EEBF-AC95-4563-8AE3-18C4EB051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19049</xdr:colOff>
      <xdr:row>114</xdr:row>
      <xdr:rowOff>44450</xdr:rowOff>
    </xdr:from>
    <xdr:to>
      <xdr:col>18</xdr:col>
      <xdr:colOff>571499</xdr:colOff>
      <xdr:row>130</xdr:row>
      <xdr:rowOff>76200</xdr:rowOff>
    </xdr:to>
    <xdr:graphicFrame macro="">
      <xdr:nvGraphicFramePr>
        <xdr:cNvPr id="11" name="Chart 10">
          <a:extLst>
            <a:ext uri="{FF2B5EF4-FFF2-40B4-BE49-F238E27FC236}">
              <a16:creationId xmlns:a16="http://schemas.microsoft.com/office/drawing/2014/main" id="{8BC7CA42-ADF5-42FD-B1F6-B8EF57915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154</xdr:row>
      <xdr:rowOff>4233</xdr:rowOff>
    </xdr:from>
    <xdr:to>
      <xdr:col>48</xdr:col>
      <xdr:colOff>30692</xdr:colOff>
      <xdr:row>173</xdr:row>
      <xdr:rowOff>165099</xdr:rowOff>
    </xdr:to>
    <xdr:graphicFrame macro="">
      <xdr:nvGraphicFramePr>
        <xdr:cNvPr id="12" name="Chart 11">
          <a:extLst>
            <a:ext uri="{FF2B5EF4-FFF2-40B4-BE49-F238E27FC236}">
              <a16:creationId xmlns:a16="http://schemas.microsoft.com/office/drawing/2014/main" id="{F898CA90-3D7B-4CC7-8186-64B457BF9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609599</xdr:colOff>
      <xdr:row>33</xdr:row>
      <xdr:rowOff>0</xdr:rowOff>
    </xdr:from>
    <xdr:to>
      <xdr:col>24</xdr:col>
      <xdr:colOff>371474</xdr:colOff>
      <xdr:row>51</xdr:row>
      <xdr:rowOff>161925</xdr:rowOff>
    </xdr:to>
    <xdr:graphicFrame macro="">
      <xdr:nvGraphicFramePr>
        <xdr:cNvPr id="13" name="Chart 12">
          <a:extLst>
            <a:ext uri="{FF2B5EF4-FFF2-40B4-BE49-F238E27FC236}">
              <a16:creationId xmlns:a16="http://schemas.microsoft.com/office/drawing/2014/main" id="{F18FDD44-D5B4-402B-B2AF-78B30B337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609599</xdr:colOff>
      <xdr:row>33</xdr:row>
      <xdr:rowOff>0</xdr:rowOff>
    </xdr:from>
    <xdr:to>
      <xdr:col>37</xdr:col>
      <xdr:colOff>276224</xdr:colOff>
      <xdr:row>52</xdr:row>
      <xdr:rowOff>142875</xdr:rowOff>
    </xdr:to>
    <xdr:graphicFrame macro="">
      <xdr:nvGraphicFramePr>
        <xdr:cNvPr id="14" name="Chart 13">
          <a:extLst>
            <a:ext uri="{FF2B5EF4-FFF2-40B4-BE49-F238E27FC236}">
              <a16:creationId xmlns:a16="http://schemas.microsoft.com/office/drawing/2014/main" id="{3E131945-8C95-4E02-9BD2-6B5569BBD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135466</xdr:colOff>
      <xdr:row>132</xdr:row>
      <xdr:rowOff>45508</xdr:rowOff>
    </xdr:from>
    <xdr:to>
      <xdr:col>46</xdr:col>
      <xdr:colOff>455083</xdr:colOff>
      <xdr:row>152</xdr:row>
      <xdr:rowOff>32808</xdr:rowOff>
    </xdr:to>
    <xdr:graphicFrame macro="">
      <xdr:nvGraphicFramePr>
        <xdr:cNvPr id="2" name="Chart 1">
          <a:extLst>
            <a:ext uri="{FF2B5EF4-FFF2-40B4-BE49-F238E27FC236}">
              <a16:creationId xmlns:a16="http://schemas.microsoft.com/office/drawing/2014/main" id="{BEA62023-722A-44F5-915D-C57B2AD82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nfotechrg-my.sharepoint.com/personal/mhebert_infotech_com/Documents/Cloud%20Desktop/it-Security-Compliance-Management-Tool%20(Study).xlsx" TargetMode="External"/><Relationship Id="rId1" Type="http://schemas.openxmlformats.org/officeDocument/2006/relationships/externalLinkPath" Target="https://infotechrg.sharepoint.com/personal/mhebert_infotech_com/Documents/Cloud%20Desktop/it-Security-Compliance-Management-Tool%20(Stud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nfotechrg-my.sharepoint.com/personal/mhebert_infotech_com/Documents/Cloud%20Desktop/it-Security-Compliance-Management-Tool%20(Study).xlsx" TargetMode="External"/><Relationship Id="rId1" Type="http://schemas.openxmlformats.org/officeDocument/2006/relationships/externalLinkPath" Target="/personal/mhebert_infotech_com/Documents/Cloud%20Desktop/it-Security-Compliance-Management-Tool%20(Study).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infotechrg-my.sharepoint.com/personal/kwood_infotech_com/Documents/InfoTech/Security/Build-an-Information-Security-Strategy/04-Information-Security-Program-Gap-Analysis-Tool.xlsx" TargetMode="External"/><Relationship Id="rId1" Type="http://schemas.openxmlformats.org/officeDocument/2006/relationships/externalLinkPath" Target="https://infotechrg.sharepoint.com/personal/kwood_infotech_com/Documents/InfoTech/Security/Build-an-Information-Security-Strategy/04-Information-Security-Program-Gap-Analysis-Tool.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infotechrg-my.sharepoint.com/personal/kwood_infotech_com/Documents/InfoTech/Security/Build-an-Information-Security-Strategy/04-Information-Security-Program-Gap-Analysis-Tool.xlsx" TargetMode="External"/><Relationship Id="rId1" Type="http://schemas.openxmlformats.org/officeDocument/2006/relationships/externalLinkPath" Target="/personal/kwood_infotech_com/Documents/InfoTech/Security/Build-an-Information-Security-Strategy/04-Information-Security-Program-Gap-Analysis-To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Introduction"/>
      <sheetName val="Tier Framework (Study)"/>
      <sheetName val="2. Environments"/>
      <sheetName val="3. Obligations"/>
      <sheetName val="4. Control Framework"/>
      <sheetName val="5. Tracking"/>
      <sheetName val="6. Integration"/>
      <sheetName val="7. Dashboard"/>
      <sheetName val="8. Control DB"/>
      <sheetName val="9. Lists &amp; Calcs (Hidden)"/>
      <sheetName val="2x2 Grid 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Introduction"/>
      <sheetName val="Tier Framework (Study)"/>
      <sheetName val="2. Environments"/>
      <sheetName val="3. Obligations"/>
      <sheetName val="4. Control Framework"/>
      <sheetName val="5. Tracking"/>
      <sheetName val="6. Integration"/>
      <sheetName val="7. Dashboard"/>
      <sheetName val="8. Control DB"/>
      <sheetName val="9. Lists &amp; Calcs (Hidden)"/>
      <sheetName val="2x2 Grid 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Introduction"/>
      <sheetName val="2. Setup"/>
      <sheetName val="3. Dashboard"/>
      <sheetName val="4. Gap Analysis"/>
      <sheetName val="5. Initiative List"/>
      <sheetName val="6. Task List"/>
      <sheetName val="7. Prioritization"/>
      <sheetName val="8. Gantt Chart"/>
      <sheetName val="9. Results"/>
      <sheetName val="10. Lists and Calcs (Hidden)"/>
      <sheetName val="11. Tier Framework (Hidden)"/>
      <sheetName val="2x2 Grid Outpu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Introduction"/>
      <sheetName val="2. Setup"/>
      <sheetName val="3. Dashboard"/>
      <sheetName val="4. Gap Analysis"/>
      <sheetName val="5. Initiative List"/>
      <sheetName val="6. Task List"/>
      <sheetName val="7. Prioritization"/>
      <sheetName val="8. Gantt Chart"/>
      <sheetName val="9. Results"/>
      <sheetName val="10. Lists and Calcs (Hidden)"/>
      <sheetName val="11. Tier Framework (Hidden)"/>
      <sheetName val="2x2 Grid Output"/>
    </sheetNames>
    <sheetDataSet>
      <sheetData sheetId="0" refreshError="1"/>
      <sheetData sheetId="1" refreshError="1"/>
      <sheetData sheetId="2" refreshError="1"/>
      <sheetData sheetId="3" refreshError="1"/>
      <sheetData sheetId="4">
        <row r="6">
          <cell r="C6" t="str">
            <v>Develop security awareness program</v>
          </cell>
        </row>
        <row r="7">
          <cell r="C7" t="str">
            <v>Improve security governance</v>
          </cell>
        </row>
        <row r="8">
          <cell r="C8" t="str">
            <v>IAM modernization</v>
          </cell>
        </row>
        <row r="9">
          <cell r="C9" t="str">
            <v>Network access control implementation</v>
          </cell>
        </row>
        <row r="10">
          <cell r="C10" t="str">
            <v>Network segmentation</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99.408345601849" createdVersion="8" refreshedVersion="8" minRefreshableVersion="3" recordCount="30" xr:uid="{4515332A-95EA-4C16-B7C4-EF6E8C927562}">
  <cacheSource type="worksheet">
    <worksheetSource ref="B91:I121" sheet="9. List &amp; Calc"/>
  </cacheSource>
  <cacheFields count="8">
    <cacheField name="Phase" numFmtId="0">
      <sharedItems/>
    </cacheField>
    <cacheField name="Capability ID" numFmtId="0">
      <sharedItems/>
    </cacheField>
    <cacheField name="iSSDLC Capability" numFmtId="0">
      <sharedItems count="31">
        <s v="Security Requirements Definition"/>
        <s v="Threat Modeling"/>
        <s v="Secure Architecture Design"/>
        <s v="Zero Trust Architecture"/>
        <s v="Secure AI/ML Design"/>
        <s v="AI/ML Training Data Collection Security"/>
        <s v="Secure Design Review &amp; Assurance"/>
        <s v="Secure Coding Practices &amp; Training"/>
        <s v="Secure Code Review &amp; Static Analysis"/>
        <s v="Software Supply Chain Security"/>
        <s v="Secure Build &amp; CI/CD Pipeline"/>
        <s v="Secure Version Control &amp; Repository Management"/>
        <s v="Secrets Management in Development"/>
        <s v="Automated Security Testing"/>
        <s v="Penetration Testing &amp; Red Teaming"/>
        <s v="Fuzz &amp; Chaos Testing"/>
        <s v="Security Requirements Validation"/>
        <s v="Secure Test Environments &amp; Data Management"/>
        <s v="Secure Deployment &amp; Infrastructure‑as‑Code (IaC)"/>
        <s v="Container &amp; Orchestrator Security"/>
        <s v="Policy‑as‑Code (PaC) Deployment"/>
        <s v="Artifact Signing &amp; Provenance"/>
        <s v="Deployment Security Gates &amp; Reviews"/>
        <s v="Security Monitoring &amp; Threat Detection"/>
        <s v="Incident Response &amp; Recovery"/>
        <s v="Vulnerability Management &amp; Patching"/>
        <s v="API Security"/>
        <s v="Environment Management &amp; Configuration"/>
        <s v="Vulnerability Disclosure &amp; Bug Bounty"/>
        <s v="Agentic AI Oversight &amp; Control"/>
        <s v="Software Supply‑Chain Security" u="1"/>
      </sharedItems>
    </cacheField>
    <cacheField name="Business Opportunity Score" numFmtId="0">
      <sharedItems containsSemiMixedTypes="0" containsString="0" containsNumber="1" containsInteger="1" minValue="0" maxValue="2"/>
    </cacheField>
    <cacheField name="Security Threats Score" numFmtId="0">
      <sharedItems containsSemiMixedTypes="0" containsString="0" containsNumber="1" containsInteger="1" minValue="0" maxValue="3"/>
    </cacheField>
    <cacheField name="Business Opportunity  + Security Threats Score" numFmtId="0">
      <sharedItems containsSemiMixedTypes="0" containsString="0" containsNumber="1" containsInteger="1" minValue="0" maxValue="5"/>
    </cacheField>
    <cacheField name="Gap" numFmtId="0">
      <sharedItems containsSemiMixedTypes="0" containsString="0" containsNumber="1" containsInteger="1" minValue="0" maxValue="3"/>
    </cacheField>
    <cacheField name="Gap + Score" numFmtId="0">
      <sharedItems containsSemiMixedTypes="0" containsString="0" containsNumber="1" containsInteger="1" minValue="1" maxValue="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Analyze &amp; Design"/>
    <s v="AD.01"/>
    <x v="0"/>
    <n v="1"/>
    <n v="2"/>
    <n v="3"/>
    <n v="0"/>
    <n v="3"/>
  </r>
  <r>
    <s v="Analyze &amp; Design"/>
    <s v="AD.02"/>
    <x v="1"/>
    <n v="1"/>
    <n v="3"/>
    <n v="4"/>
    <n v="1"/>
    <n v="5"/>
  </r>
  <r>
    <s v="Analyze &amp; Design"/>
    <s v="AD.03"/>
    <x v="2"/>
    <n v="2"/>
    <n v="2"/>
    <n v="4"/>
    <n v="0"/>
    <n v="4"/>
  </r>
  <r>
    <s v="Analyze &amp; Design"/>
    <s v="AD.04"/>
    <x v="3"/>
    <n v="0"/>
    <n v="1"/>
    <n v="1"/>
    <n v="1"/>
    <n v="2"/>
  </r>
  <r>
    <s v="Analyze &amp; Design"/>
    <s v="AD.05"/>
    <x v="4"/>
    <n v="1"/>
    <n v="0"/>
    <n v="1"/>
    <n v="1"/>
    <n v="2"/>
  </r>
  <r>
    <s v="Analyze &amp; Design"/>
    <s v="AD.06"/>
    <x v="5"/>
    <n v="0"/>
    <n v="0"/>
    <n v="0"/>
    <n v="3"/>
    <n v="3"/>
  </r>
  <r>
    <s v="Analyze &amp; Design"/>
    <s v="AD.07"/>
    <x v="6"/>
    <n v="1"/>
    <n v="0"/>
    <n v="1"/>
    <n v="0"/>
    <n v="1"/>
  </r>
  <r>
    <s v="Build"/>
    <s v="BU.01"/>
    <x v="7"/>
    <n v="2"/>
    <n v="3"/>
    <n v="5"/>
    <n v="2"/>
    <n v="7"/>
  </r>
  <r>
    <s v="Build"/>
    <s v="BU.02"/>
    <x v="8"/>
    <n v="1"/>
    <n v="1"/>
    <n v="2"/>
    <n v="2"/>
    <n v="4"/>
  </r>
  <r>
    <s v="Build"/>
    <s v="BU.03"/>
    <x v="9"/>
    <n v="1"/>
    <n v="0"/>
    <n v="1"/>
    <n v="0"/>
    <n v="1"/>
  </r>
  <r>
    <s v="Build"/>
    <s v="BU.04"/>
    <x v="10"/>
    <n v="2"/>
    <n v="1"/>
    <n v="3"/>
    <n v="1"/>
    <n v="4"/>
  </r>
  <r>
    <s v="Build"/>
    <s v="BU.05"/>
    <x v="11"/>
    <n v="0"/>
    <n v="0"/>
    <n v="0"/>
    <n v="2"/>
    <n v="2"/>
  </r>
  <r>
    <s v="Build"/>
    <s v="BU.06"/>
    <x v="12"/>
    <n v="0"/>
    <n v="2"/>
    <n v="2"/>
    <n v="1"/>
    <n v="3"/>
  </r>
  <r>
    <s v="Test"/>
    <s v="TE.01"/>
    <x v="13"/>
    <n v="1"/>
    <n v="2"/>
    <n v="3"/>
    <n v="2"/>
    <n v="5"/>
  </r>
  <r>
    <s v="Test"/>
    <s v="TE.02"/>
    <x v="14"/>
    <n v="1"/>
    <n v="1"/>
    <n v="2"/>
    <n v="1"/>
    <n v="3"/>
  </r>
  <r>
    <s v="Test"/>
    <s v="TE.03"/>
    <x v="15"/>
    <n v="0"/>
    <n v="1"/>
    <n v="1"/>
    <n v="1"/>
    <n v="2"/>
  </r>
  <r>
    <s v="Test"/>
    <s v="TE.04"/>
    <x v="16"/>
    <n v="1"/>
    <n v="1"/>
    <n v="2"/>
    <n v="1"/>
    <n v="3"/>
  </r>
  <r>
    <s v="Test"/>
    <s v="TE.05"/>
    <x v="17"/>
    <n v="1"/>
    <n v="2"/>
    <n v="3"/>
    <n v="1"/>
    <n v="4"/>
  </r>
  <r>
    <s v="Deploy"/>
    <s v="DE.01"/>
    <x v="18"/>
    <n v="2"/>
    <n v="1"/>
    <n v="3"/>
    <n v="1"/>
    <n v="4"/>
  </r>
  <r>
    <s v="Deploy"/>
    <s v="DE.02"/>
    <x v="19"/>
    <n v="1"/>
    <n v="0"/>
    <n v="1"/>
    <n v="2"/>
    <n v="3"/>
  </r>
  <r>
    <s v="Deploy"/>
    <s v="DE.03"/>
    <x v="20"/>
    <n v="1"/>
    <n v="1"/>
    <n v="2"/>
    <n v="2"/>
    <n v="4"/>
  </r>
  <r>
    <s v="Deploy"/>
    <s v="DE.04"/>
    <x v="21"/>
    <n v="0"/>
    <n v="1"/>
    <n v="1"/>
    <n v="0"/>
    <n v="1"/>
  </r>
  <r>
    <s v="Deploy"/>
    <s v="DE.05"/>
    <x v="22"/>
    <n v="2"/>
    <n v="0"/>
    <n v="2"/>
    <n v="0"/>
    <n v="2"/>
  </r>
  <r>
    <s v="Deploy"/>
    <s v="OM.01"/>
    <x v="23"/>
    <n v="1"/>
    <n v="3"/>
    <n v="4"/>
    <n v="1"/>
    <n v="5"/>
  </r>
  <r>
    <s v="Maintenance &amp; Operations"/>
    <s v="OM.02"/>
    <x v="24"/>
    <n v="1"/>
    <n v="2"/>
    <n v="3"/>
    <n v="1"/>
    <n v="4"/>
  </r>
  <r>
    <s v="Maintenance &amp; Operations"/>
    <s v="OM.03"/>
    <x v="25"/>
    <n v="2"/>
    <n v="0"/>
    <n v="2"/>
    <n v="2"/>
    <n v="4"/>
  </r>
  <r>
    <s v="Maintenance &amp; Operations"/>
    <s v="OM.04"/>
    <x v="26"/>
    <n v="0"/>
    <n v="2"/>
    <n v="2"/>
    <n v="1"/>
    <n v="3"/>
  </r>
  <r>
    <s v="Maintenance &amp; Operations"/>
    <s v="OM.05"/>
    <x v="27"/>
    <n v="1"/>
    <n v="1"/>
    <n v="2"/>
    <n v="1"/>
    <n v="3"/>
  </r>
  <r>
    <s v="Maintenance &amp; Operations"/>
    <s v="OM.06"/>
    <x v="28"/>
    <n v="1"/>
    <n v="1"/>
    <n v="2"/>
    <n v="0"/>
    <n v="2"/>
  </r>
  <r>
    <s v="Maintenance &amp; Operations"/>
    <s v="OM.07"/>
    <x v="29"/>
    <n v="0"/>
    <n v="1"/>
    <n v="1"/>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BA2A4C-60AF-4D69-B1B0-DF036E074181}"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226:C256" firstHeaderRow="1" firstDataRow="1" firstDataCol="1"/>
  <pivotFields count="8">
    <pivotField showAll="0"/>
    <pivotField showAll="0"/>
    <pivotField axis="axisRow" showAll="0" sortType="descending">
      <items count="32">
        <item x="3"/>
        <item x="25"/>
        <item x="28"/>
        <item x="1"/>
        <item m="1" x="30"/>
        <item x="16"/>
        <item x="0"/>
        <item x="23"/>
        <item x="11"/>
        <item x="17"/>
        <item x="6"/>
        <item x="18"/>
        <item x="7"/>
        <item x="8"/>
        <item x="10"/>
        <item x="2"/>
        <item x="4"/>
        <item x="12"/>
        <item x="20"/>
        <item x="14"/>
        <item x="24"/>
        <item x="15"/>
        <item x="27"/>
        <item x="22"/>
        <item x="19"/>
        <item x="13"/>
        <item x="21"/>
        <item x="26"/>
        <item x="5"/>
        <item x="29"/>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2"/>
  </rowFields>
  <rowItems count="30">
    <i>
      <x v="12"/>
    </i>
    <i>
      <x v="25"/>
    </i>
    <i>
      <x v="3"/>
    </i>
    <i>
      <x v="7"/>
    </i>
    <i>
      <x v="13"/>
    </i>
    <i>
      <x v="14"/>
    </i>
    <i>
      <x v="18"/>
    </i>
    <i>
      <x v="1"/>
    </i>
    <i>
      <x v="20"/>
    </i>
    <i>
      <x v="9"/>
    </i>
    <i>
      <x v="11"/>
    </i>
    <i>
      <x v="15"/>
    </i>
    <i>
      <x v="28"/>
    </i>
    <i>
      <x v="24"/>
    </i>
    <i>
      <x v="22"/>
    </i>
    <i>
      <x v="5"/>
    </i>
    <i>
      <x v="27"/>
    </i>
    <i>
      <x v="17"/>
    </i>
    <i>
      <x v="19"/>
    </i>
    <i>
      <x v="6"/>
    </i>
    <i>
      <x v="2"/>
    </i>
    <i>
      <x v="8"/>
    </i>
    <i>
      <x v="29"/>
    </i>
    <i>
      <x v="23"/>
    </i>
    <i>
      <x/>
    </i>
    <i>
      <x v="16"/>
    </i>
    <i>
      <x v="21"/>
    </i>
    <i>
      <x v="26"/>
    </i>
    <i>
      <x v="30"/>
    </i>
    <i>
      <x v="10"/>
    </i>
  </rowItems>
  <colItems count="1">
    <i/>
  </colItems>
  <dataFields count="1">
    <dataField name="Sum of Gap +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eme1">
  <a:themeElements>
    <a:clrScheme name="ITRG Theme">
      <a:dk1>
        <a:srgbClr val="333333"/>
      </a:dk1>
      <a:lt1>
        <a:srgbClr val="FFFFFF"/>
      </a:lt1>
      <a:dk2>
        <a:srgbClr val="222222"/>
      </a:dk2>
      <a:lt2>
        <a:srgbClr val="EEEEEE"/>
      </a:lt2>
      <a:accent1>
        <a:srgbClr val="29475F"/>
      </a:accent1>
      <a:accent2>
        <a:srgbClr val="6293BB"/>
      </a:accent2>
      <a:accent3>
        <a:srgbClr val="CADAE8"/>
      </a:accent3>
      <a:accent4>
        <a:srgbClr val="CED990"/>
      </a:accent4>
      <a:accent5>
        <a:srgbClr val="D6D6D6"/>
      </a:accent5>
      <a:accent6>
        <a:srgbClr val="FFFFFF"/>
      </a:accent6>
      <a:hlink>
        <a:srgbClr val="2576B7"/>
      </a:hlink>
      <a:folHlink>
        <a:srgbClr val="C77709"/>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3EC69-433E-4D64-9F53-3714791CC002}">
  <dimension ref="A1:V24"/>
  <sheetViews>
    <sheetView showGridLines="0" tabSelected="1" workbookViewId="0"/>
  </sheetViews>
  <sheetFormatPr defaultRowHeight="14.25" x14ac:dyDescent="0.2"/>
  <cols>
    <col min="1" max="1" width="3.625" customWidth="1"/>
  </cols>
  <sheetData>
    <row r="1" spans="1:22" ht="48.95" customHeight="1" x14ac:dyDescent="0.2">
      <c r="A1" s="1"/>
      <c r="B1" s="1"/>
      <c r="C1" s="1"/>
      <c r="D1" s="1"/>
      <c r="E1" s="1"/>
      <c r="F1" s="1"/>
      <c r="G1" s="1"/>
      <c r="H1" s="1"/>
      <c r="I1" s="1"/>
      <c r="J1" s="1"/>
      <c r="K1" s="1"/>
      <c r="L1" s="1"/>
      <c r="M1" s="1"/>
      <c r="N1" s="1"/>
      <c r="O1" s="1"/>
      <c r="P1" s="1"/>
      <c r="Q1" s="1"/>
      <c r="R1" s="1"/>
      <c r="S1" s="1"/>
      <c r="T1" s="1"/>
      <c r="U1" s="1"/>
      <c r="V1" s="1"/>
    </row>
    <row r="2" spans="1:22" ht="56.45" customHeight="1" x14ac:dyDescent="0.2">
      <c r="A2" s="1"/>
      <c r="B2" s="367" t="s">
        <v>0</v>
      </c>
      <c r="C2" s="367"/>
      <c r="D2" s="367"/>
      <c r="E2" s="367"/>
      <c r="F2" s="367"/>
      <c r="G2" s="367"/>
      <c r="H2" s="367"/>
      <c r="I2" s="367"/>
      <c r="J2" s="367"/>
      <c r="K2" s="367"/>
      <c r="L2" s="367"/>
      <c r="M2" s="367"/>
      <c r="N2" s="367"/>
      <c r="O2" s="1"/>
      <c r="P2" s="1"/>
      <c r="Q2" s="1"/>
      <c r="R2" s="1"/>
      <c r="S2" s="1"/>
      <c r="T2" s="1"/>
      <c r="U2" s="1"/>
      <c r="V2" s="1"/>
    </row>
    <row r="3" spans="1:22" ht="226.5" customHeight="1" x14ac:dyDescent="0.2">
      <c r="A3" s="1"/>
      <c r="B3" s="368" t="s">
        <v>1</v>
      </c>
      <c r="C3" s="368"/>
      <c r="D3" s="368"/>
      <c r="E3" s="368"/>
      <c r="F3" s="368"/>
      <c r="G3" s="368"/>
      <c r="H3" s="368"/>
      <c r="I3" s="368"/>
      <c r="J3" s="368"/>
      <c r="K3" s="368"/>
      <c r="L3" s="368"/>
      <c r="M3" s="368"/>
      <c r="N3" s="368"/>
      <c r="O3" s="1"/>
      <c r="P3" s="1"/>
      <c r="Q3" s="1"/>
      <c r="R3" s="1"/>
      <c r="S3" s="1"/>
      <c r="T3" s="1"/>
      <c r="U3" s="1"/>
      <c r="V3" s="1"/>
    </row>
    <row r="4" spans="1:22" x14ac:dyDescent="0.2">
      <c r="A4" s="1"/>
      <c r="B4" s="1"/>
      <c r="C4" s="1"/>
      <c r="D4" s="1"/>
      <c r="E4" s="1"/>
      <c r="F4" s="1"/>
      <c r="G4" s="1"/>
      <c r="H4" s="1"/>
      <c r="I4" s="1"/>
      <c r="J4" s="1"/>
      <c r="K4" s="1"/>
      <c r="L4" s="1"/>
      <c r="M4" s="1"/>
      <c r="N4" s="1"/>
      <c r="O4" s="1"/>
      <c r="P4" s="1"/>
      <c r="Q4" s="1"/>
      <c r="R4" s="1"/>
      <c r="S4" s="1"/>
      <c r="T4" s="1"/>
      <c r="U4" s="1"/>
      <c r="V4" s="1"/>
    </row>
    <row r="5" spans="1:22" x14ac:dyDescent="0.2">
      <c r="A5" s="1"/>
      <c r="B5" s="1"/>
      <c r="C5" s="1"/>
      <c r="D5" s="1"/>
      <c r="E5" s="1"/>
      <c r="F5" s="1"/>
      <c r="G5" s="1"/>
      <c r="H5" s="1"/>
      <c r="I5" s="1"/>
      <c r="J5" s="1"/>
      <c r="K5" s="1"/>
      <c r="L5" s="1"/>
      <c r="M5" s="1"/>
      <c r="N5" s="1"/>
      <c r="O5" s="1"/>
      <c r="P5" s="1"/>
      <c r="Q5" s="1"/>
      <c r="R5" s="1"/>
      <c r="S5" s="1"/>
      <c r="T5" s="1"/>
      <c r="U5" s="1"/>
      <c r="V5" s="1"/>
    </row>
    <row r="6" spans="1:22" ht="95.45" customHeight="1" x14ac:dyDescent="0.2">
      <c r="B6" s="369" t="s">
        <v>2</v>
      </c>
      <c r="C6" s="369"/>
      <c r="D6" s="369"/>
      <c r="E6" s="369"/>
      <c r="F6" s="369"/>
      <c r="G6" s="369"/>
      <c r="H6" s="369"/>
      <c r="I6" s="369"/>
      <c r="J6" s="369"/>
      <c r="K6" s="369"/>
      <c r="L6" s="369"/>
      <c r="M6" s="369"/>
      <c r="N6" s="369"/>
      <c r="O6" s="1"/>
      <c r="P6" s="1"/>
      <c r="Q6" s="1"/>
      <c r="R6" s="1"/>
      <c r="S6" s="1"/>
      <c r="T6" s="1"/>
      <c r="U6" s="1"/>
      <c r="V6" s="1"/>
    </row>
    <row r="7" spans="1:22" x14ac:dyDescent="0.2">
      <c r="B7" s="1"/>
      <c r="C7" s="1"/>
      <c r="D7" s="1"/>
      <c r="E7" s="1"/>
      <c r="F7" s="1"/>
      <c r="G7" s="1"/>
      <c r="H7" s="1"/>
      <c r="I7" s="1"/>
      <c r="J7" s="1"/>
      <c r="K7" s="1"/>
      <c r="L7" s="1"/>
      <c r="M7" s="1"/>
      <c r="N7" s="1"/>
      <c r="O7" s="1"/>
      <c r="P7" s="1"/>
      <c r="Q7" s="1"/>
      <c r="R7" s="1"/>
      <c r="S7" s="1"/>
      <c r="T7" s="1"/>
      <c r="U7" s="1"/>
      <c r="V7" s="1"/>
    </row>
    <row r="8" spans="1:22" x14ac:dyDescent="0.2">
      <c r="B8" s="1"/>
      <c r="C8" s="1"/>
      <c r="D8" s="1"/>
      <c r="E8" s="1"/>
      <c r="F8" s="1"/>
      <c r="G8" s="1"/>
      <c r="H8" s="1"/>
      <c r="I8" s="1"/>
      <c r="J8" s="1"/>
      <c r="K8" s="1"/>
      <c r="L8" s="1"/>
      <c r="M8" s="1"/>
      <c r="N8" s="1"/>
      <c r="O8" s="1"/>
      <c r="P8" s="1"/>
      <c r="Q8" s="1"/>
      <c r="R8" s="1"/>
      <c r="S8" s="1"/>
      <c r="T8" s="1"/>
      <c r="U8" s="1"/>
      <c r="V8" s="1"/>
    </row>
    <row r="9" spans="1:22" x14ac:dyDescent="0.2">
      <c r="B9" s="1"/>
      <c r="C9" s="1"/>
      <c r="D9" s="1"/>
      <c r="E9" s="1"/>
      <c r="F9" s="1"/>
      <c r="G9" s="1"/>
      <c r="H9" s="1"/>
      <c r="I9" s="1"/>
      <c r="J9" s="1"/>
      <c r="K9" s="1"/>
      <c r="L9" s="1"/>
      <c r="M9" s="1"/>
      <c r="N9" s="1"/>
      <c r="O9" s="1"/>
      <c r="P9" s="1"/>
      <c r="Q9" s="1"/>
      <c r="R9" s="1"/>
      <c r="S9" s="1"/>
      <c r="T9" s="1"/>
      <c r="U9" s="1"/>
      <c r="V9" s="1"/>
    </row>
    <row r="10" spans="1:22" x14ac:dyDescent="0.2">
      <c r="B10" s="1"/>
      <c r="C10" s="1"/>
      <c r="D10" s="1"/>
      <c r="E10" s="1"/>
      <c r="F10" s="1"/>
      <c r="G10" s="1"/>
      <c r="H10" s="1"/>
      <c r="I10" s="1"/>
      <c r="J10" s="1"/>
      <c r="K10" s="1"/>
      <c r="L10" s="1"/>
      <c r="M10" s="1"/>
      <c r="N10" s="1"/>
      <c r="O10" s="1"/>
      <c r="P10" s="1"/>
      <c r="Q10" s="1"/>
      <c r="R10" s="1"/>
      <c r="S10" s="1"/>
      <c r="T10" s="1"/>
      <c r="U10" s="1"/>
      <c r="V10" s="1"/>
    </row>
    <row r="11" spans="1:22" x14ac:dyDescent="0.2">
      <c r="B11" s="1"/>
      <c r="C11" s="1"/>
      <c r="D11" s="1"/>
      <c r="E11" s="1"/>
      <c r="F11" s="1"/>
      <c r="G11" s="1"/>
      <c r="H11" s="1"/>
      <c r="I11" s="1"/>
      <c r="J11" s="1"/>
      <c r="K11" s="1"/>
      <c r="L11" s="1"/>
      <c r="M11" s="1"/>
      <c r="N11" s="1"/>
      <c r="O11" s="1"/>
      <c r="P11" s="1"/>
      <c r="Q11" s="1"/>
      <c r="R11" s="1"/>
      <c r="S11" s="1"/>
      <c r="T11" s="1"/>
      <c r="U11" s="1"/>
      <c r="V11" s="1"/>
    </row>
    <row r="12" spans="1:22" x14ac:dyDescent="0.2">
      <c r="B12" s="1"/>
      <c r="C12" s="1"/>
      <c r="D12" s="1"/>
      <c r="E12" s="1"/>
      <c r="F12" s="1"/>
      <c r="G12" s="1"/>
      <c r="H12" s="1"/>
      <c r="I12" s="1"/>
      <c r="J12" s="1"/>
      <c r="K12" s="1"/>
      <c r="L12" s="1"/>
      <c r="M12" s="1"/>
      <c r="N12" s="1"/>
      <c r="O12" s="1"/>
      <c r="P12" s="1"/>
      <c r="Q12" s="1"/>
      <c r="R12" s="1"/>
      <c r="S12" s="1"/>
      <c r="T12" s="1"/>
      <c r="U12" s="1"/>
      <c r="V12" s="1"/>
    </row>
    <row r="13" spans="1:22" ht="14.1" customHeight="1" x14ac:dyDescent="0.2">
      <c r="B13" s="1"/>
      <c r="C13" s="1"/>
      <c r="D13" s="1"/>
      <c r="E13" s="1"/>
      <c r="F13" s="1"/>
      <c r="G13" s="1"/>
      <c r="H13" s="1"/>
      <c r="I13" s="1"/>
      <c r="J13" s="1"/>
      <c r="K13" s="1"/>
      <c r="L13" s="1"/>
      <c r="M13" s="1"/>
      <c r="N13" s="1"/>
      <c r="O13" s="1"/>
      <c r="P13" s="1"/>
      <c r="Q13" s="1"/>
      <c r="R13" s="1"/>
      <c r="S13" s="1"/>
      <c r="T13" s="1"/>
      <c r="U13" s="1"/>
      <c r="V13" s="1"/>
    </row>
    <row r="14" spans="1:22" ht="14.45" hidden="1" customHeight="1" x14ac:dyDescent="0.2">
      <c r="B14" s="1"/>
      <c r="C14" s="1"/>
      <c r="D14" s="1"/>
      <c r="E14" s="1"/>
      <c r="F14" s="1"/>
      <c r="G14" s="1"/>
      <c r="H14" s="1"/>
      <c r="I14" s="1"/>
      <c r="J14" s="1"/>
      <c r="K14" s="1"/>
      <c r="L14" s="1"/>
      <c r="M14" s="1"/>
      <c r="N14" s="1"/>
      <c r="O14" s="1"/>
      <c r="P14" s="1"/>
      <c r="Q14" s="1"/>
      <c r="R14" s="1"/>
      <c r="S14" s="1"/>
      <c r="T14" s="1"/>
      <c r="U14" s="1"/>
      <c r="V14" s="1"/>
    </row>
    <row r="15" spans="1:22" ht="14.45" hidden="1" customHeight="1" x14ac:dyDescent="0.2">
      <c r="B15" s="1"/>
      <c r="C15" s="1"/>
      <c r="D15" s="1"/>
      <c r="E15" s="1"/>
      <c r="F15" s="1"/>
      <c r="G15" s="1"/>
      <c r="H15" s="1"/>
      <c r="I15" s="1"/>
      <c r="J15" s="1"/>
      <c r="K15" s="1"/>
      <c r="L15" s="1"/>
      <c r="M15" s="1"/>
      <c r="N15" s="1"/>
      <c r="O15" s="1"/>
      <c r="P15" s="1"/>
      <c r="Q15" s="1"/>
      <c r="R15" s="1"/>
      <c r="S15" s="1"/>
      <c r="T15" s="1"/>
      <c r="U15" s="1"/>
      <c r="V15" s="1"/>
    </row>
    <row r="16" spans="1:22" ht="14.45" hidden="1" customHeight="1" x14ac:dyDescent="0.2">
      <c r="B16" s="1"/>
      <c r="C16" s="1"/>
      <c r="D16" s="1"/>
      <c r="E16" s="1"/>
      <c r="F16" s="1"/>
      <c r="G16" s="1"/>
      <c r="H16" s="1"/>
      <c r="I16" s="1"/>
      <c r="J16" s="1"/>
      <c r="K16" s="1"/>
      <c r="L16" s="1"/>
      <c r="M16" s="1"/>
      <c r="N16" s="1"/>
      <c r="O16" s="1"/>
      <c r="P16" s="1"/>
      <c r="Q16" s="1"/>
      <c r="R16" s="1"/>
      <c r="S16" s="1"/>
      <c r="T16" s="1"/>
      <c r="U16" s="1"/>
      <c r="V16" s="1"/>
    </row>
    <row r="17" spans="2:22" ht="14.45" hidden="1" customHeight="1" x14ac:dyDescent="0.2">
      <c r="B17" s="1"/>
      <c r="C17" s="1"/>
      <c r="D17" s="1"/>
      <c r="E17" s="1"/>
      <c r="F17" s="1"/>
      <c r="G17" s="1"/>
      <c r="H17" s="1"/>
      <c r="I17" s="1"/>
      <c r="J17" s="1"/>
      <c r="K17" s="1"/>
      <c r="L17" s="1"/>
      <c r="M17" s="1"/>
      <c r="N17" s="1"/>
      <c r="O17" s="1"/>
      <c r="P17" s="1"/>
      <c r="Q17" s="1"/>
      <c r="R17" s="1"/>
      <c r="S17" s="1"/>
      <c r="T17" s="1"/>
      <c r="U17" s="1"/>
      <c r="V17" s="1"/>
    </row>
    <row r="18" spans="2:22" ht="87.6" customHeight="1" x14ac:dyDescent="0.2">
      <c r="B18" s="1"/>
      <c r="C18" s="1"/>
      <c r="D18" s="1"/>
      <c r="E18" s="1"/>
      <c r="F18" s="1"/>
      <c r="G18" s="1"/>
      <c r="H18" s="1"/>
      <c r="I18" s="1"/>
      <c r="J18" s="1"/>
      <c r="K18" s="1"/>
      <c r="L18" s="1"/>
      <c r="M18" s="1"/>
      <c r="N18" s="1"/>
      <c r="O18" s="1"/>
      <c r="P18" s="1"/>
      <c r="Q18" s="1"/>
      <c r="R18" s="1"/>
      <c r="S18" s="1"/>
      <c r="T18" s="1"/>
      <c r="U18" s="1"/>
      <c r="V18" s="1"/>
    </row>
    <row r="19" spans="2:22" x14ac:dyDescent="0.2">
      <c r="B19" s="1"/>
      <c r="C19" s="1"/>
      <c r="D19" s="1"/>
      <c r="E19" s="1"/>
      <c r="F19" s="1"/>
      <c r="G19" s="1"/>
      <c r="H19" s="1"/>
      <c r="I19" s="1"/>
      <c r="J19" s="1"/>
      <c r="K19" s="1"/>
      <c r="L19" s="1"/>
      <c r="M19" s="1"/>
      <c r="N19" s="1"/>
      <c r="O19" s="1"/>
      <c r="P19" s="1"/>
      <c r="Q19" s="1"/>
      <c r="R19" s="1"/>
      <c r="S19" s="1"/>
      <c r="T19" s="1"/>
      <c r="U19" s="1"/>
      <c r="V19" s="1"/>
    </row>
    <row r="20" spans="2:22" x14ac:dyDescent="0.2">
      <c r="B20" s="1"/>
      <c r="C20" s="1"/>
      <c r="D20" s="1"/>
      <c r="E20" s="1"/>
      <c r="F20" s="1"/>
      <c r="G20" s="1"/>
      <c r="H20" s="1"/>
      <c r="I20" s="1"/>
      <c r="J20" s="1"/>
      <c r="K20" s="1"/>
      <c r="L20" s="1"/>
      <c r="M20" s="1"/>
      <c r="N20" s="1"/>
      <c r="O20" s="1"/>
      <c r="P20" s="1"/>
      <c r="Q20" s="1"/>
      <c r="R20" s="1"/>
      <c r="S20" s="1"/>
      <c r="T20" s="1"/>
      <c r="U20" s="1"/>
      <c r="V20" s="1"/>
    </row>
    <row r="21" spans="2:22" x14ac:dyDescent="0.2">
      <c r="B21" s="1"/>
      <c r="C21" s="1"/>
      <c r="D21" s="1"/>
      <c r="E21" s="1"/>
      <c r="F21" s="1"/>
      <c r="G21" s="1"/>
      <c r="H21" s="1"/>
      <c r="I21" s="1"/>
      <c r="J21" s="1"/>
      <c r="K21" s="1"/>
      <c r="L21" s="1"/>
      <c r="M21" s="1"/>
      <c r="N21" s="1"/>
      <c r="O21" s="1"/>
      <c r="P21" s="1"/>
      <c r="Q21" s="1"/>
      <c r="R21" s="1"/>
      <c r="S21" s="1"/>
      <c r="T21" s="1"/>
      <c r="U21" s="1"/>
      <c r="V21" s="1"/>
    </row>
    <row r="22" spans="2:22" x14ac:dyDescent="0.2">
      <c r="B22" s="1"/>
      <c r="C22" s="1"/>
      <c r="D22" s="1"/>
      <c r="E22" s="1"/>
      <c r="F22" s="1"/>
      <c r="G22" s="1"/>
      <c r="H22" s="1"/>
      <c r="I22" s="1"/>
      <c r="J22" s="1"/>
      <c r="K22" s="1"/>
      <c r="L22" s="1"/>
      <c r="M22" s="1"/>
      <c r="N22" s="1"/>
      <c r="O22" s="1"/>
      <c r="P22" s="1"/>
      <c r="Q22" s="1"/>
      <c r="R22" s="1"/>
      <c r="S22" s="1"/>
      <c r="T22" s="1"/>
      <c r="U22" s="1"/>
      <c r="V22" s="1"/>
    </row>
    <row r="23" spans="2:22" x14ac:dyDescent="0.2">
      <c r="B23" s="1"/>
      <c r="C23" s="1"/>
      <c r="D23" s="1"/>
      <c r="E23" s="1"/>
      <c r="F23" s="1"/>
      <c r="G23" s="1"/>
      <c r="H23" s="1"/>
      <c r="I23" s="1"/>
      <c r="J23" s="1"/>
      <c r="K23" s="1"/>
      <c r="L23" s="1"/>
      <c r="M23" s="1"/>
      <c r="N23" s="1"/>
      <c r="O23" s="1"/>
      <c r="P23" s="1"/>
      <c r="Q23" s="1"/>
      <c r="R23" s="1"/>
    </row>
    <row r="24" spans="2:22" x14ac:dyDescent="0.2">
      <c r="B24" s="1"/>
      <c r="C24" s="1"/>
      <c r="D24" s="1"/>
      <c r="E24" s="1"/>
      <c r="F24" s="1"/>
      <c r="G24" s="1"/>
      <c r="H24" s="1"/>
      <c r="I24" s="1"/>
      <c r="J24" s="1"/>
      <c r="K24" s="1"/>
      <c r="L24" s="1"/>
      <c r="M24" s="1"/>
      <c r="N24" s="1"/>
      <c r="O24" s="1"/>
      <c r="P24" s="1"/>
      <c r="Q24" s="1"/>
      <c r="R24" s="1"/>
    </row>
  </sheetData>
  <mergeCells count="3">
    <mergeCell ref="B2:N2"/>
    <mergeCell ref="B3:N3"/>
    <mergeCell ref="B6:N6"/>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29C0A-CA0B-408F-A80C-CEAE9B7B9649}">
  <dimension ref="B1:J43"/>
  <sheetViews>
    <sheetView showGridLines="0" zoomScaleNormal="100" workbookViewId="0">
      <selection activeCell="E42" sqref="E42"/>
    </sheetView>
  </sheetViews>
  <sheetFormatPr defaultColWidth="8" defaultRowHeight="12.75" x14ac:dyDescent="0.2"/>
  <cols>
    <col min="1" max="1" width="2.5" style="1" customWidth="1"/>
    <col min="2" max="2" width="2.375" style="1" customWidth="1"/>
    <col min="3" max="3" width="38.875" style="1" customWidth="1"/>
    <col min="4" max="4" width="35.625" style="1" customWidth="1"/>
    <col min="5" max="6" width="18.375" style="1" customWidth="1"/>
    <col min="7" max="7" width="17.875" style="1" customWidth="1"/>
    <col min="8" max="8" width="2.5" style="1" customWidth="1"/>
    <col min="9" max="16384" width="8" style="1"/>
  </cols>
  <sheetData>
    <row r="1" spans="2:8" ht="15" customHeight="1" x14ac:dyDescent="0.2"/>
    <row r="2" spans="2:8" ht="33.75" customHeight="1" x14ac:dyDescent="0.2">
      <c r="B2" s="370" t="s">
        <v>3</v>
      </c>
      <c r="C2" s="371"/>
      <c r="D2" s="371"/>
      <c r="E2" s="371"/>
      <c r="F2" s="371"/>
      <c r="G2" s="371"/>
      <c r="H2" s="371"/>
    </row>
    <row r="3" spans="2:8" ht="165.6" customHeight="1" x14ac:dyDescent="0.2">
      <c r="B3" s="372" t="s">
        <v>4</v>
      </c>
      <c r="C3" s="372"/>
      <c r="D3" s="372"/>
      <c r="E3" s="372"/>
      <c r="F3" s="372"/>
      <c r="G3" s="372"/>
      <c r="H3" s="372"/>
    </row>
    <row r="4" spans="2:8" ht="10.5" customHeight="1" x14ac:dyDescent="0.2">
      <c r="B4" s="262"/>
      <c r="C4" s="262"/>
      <c r="D4" s="262"/>
      <c r="E4" s="262"/>
      <c r="F4" s="262"/>
      <c r="G4" s="262"/>
      <c r="H4" s="262"/>
    </row>
    <row r="5" spans="2:8" ht="15" thickBot="1" x14ac:dyDescent="0.25">
      <c r="C5"/>
      <c r="D5"/>
    </row>
    <row r="6" spans="2:8" x14ac:dyDescent="0.2">
      <c r="B6" s="17"/>
      <c r="C6" s="18"/>
      <c r="D6" s="18"/>
      <c r="E6" s="18"/>
      <c r="F6" s="18"/>
      <c r="G6" s="18"/>
      <c r="H6" s="19"/>
    </row>
    <row r="7" spans="2:8" ht="87" customHeight="1" thickBot="1" x14ac:dyDescent="0.25">
      <c r="B7" s="20"/>
      <c r="C7" s="373" t="s">
        <v>5</v>
      </c>
      <c r="D7" s="373"/>
      <c r="E7" s="373"/>
      <c r="F7" s="373"/>
      <c r="G7" s="373"/>
      <c r="H7" s="21"/>
    </row>
    <row r="8" spans="2:8" ht="16.5" thickBot="1" x14ac:dyDescent="0.25">
      <c r="B8" s="20"/>
      <c r="C8" s="374" t="s">
        <v>6</v>
      </c>
      <c r="D8" s="375"/>
      <c r="E8" s="302" t="s">
        <v>7</v>
      </c>
      <c r="F8" s="284"/>
      <c r="G8" s="283" t="s">
        <v>8</v>
      </c>
      <c r="H8" s="21"/>
    </row>
    <row r="9" spans="2:8" x14ac:dyDescent="0.2">
      <c r="B9" s="20"/>
      <c r="C9" s="376" t="s">
        <v>9</v>
      </c>
      <c r="D9" s="282" t="s">
        <v>10</v>
      </c>
      <c r="E9" s="301" t="s">
        <v>11</v>
      </c>
      <c r="F9" s="300"/>
      <c r="G9" s="299">
        <v>120000</v>
      </c>
      <c r="H9" s="21"/>
    </row>
    <row r="10" spans="2:8" x14ac:dyDescent="0.2">
      <c r="B10" s="20"/>
      <c r="C10" s="377"/>
      <c r="D10" s="281" t="s">
        <v>12</v>
      </c>
      <c r="E10" s="298" t="s">
        <v>13</v>
      </c>
      <c r="F10" s="297"/>
      <c r="G10" s="296">
        <v>50000</v>
      </c>
      <c r="H10" s="21"/>
    </row>
    <row r="11" spans="2:8" ht="13.5" thickBot="1" x14ac:dyDescent="0.25">
      <c r="B11" s="20"/>
      <c r="C11" s="377"/>
      <c r="D11" s="281" t="s">
        <v>14</v>
      </c>
      <c r="E11" s="298" t="s">
        <v>15</v>
      </c>
      <c r="F11" s="297"/>
      <c r="G11" s="296">
        <v>5000</v>
      </c>
      <c r="H11" s="21"/>
    </row>
    <row r="12" spans="2:8" x14ac:dyDescent="0.2">
      <c r="B12" s="20"/>
      <c r="C12" s="376" t="s">
        <v>16</v>
      </c>
      <c r="D12" s="282" t="s">
        <v>10</v>
      </c>
      <c r="E12" s="301" t="s">
        <v>11</v>
      </c>
      <c r="F12" s="300"/>
      <c r="G12" s="299">
        <v>120000</v>
      </c>
      <c r="H12" s="21"/>
    </row>
    <row r="13" spans="2:8" x14ac:dyDescent="0.2">
      <c r="B13" s="20"/>
      <c r="C13" s="377"/>
      <c r="D13" s="281" t="s">
        <v>12</v>
      </c>
      <c r="E13" s="298" t="s">
        <v>13</v>
      </c>
      <c r="F13" s="297"/>
      <c r="G13" s="296">
        <v>50000</v>
      </c>
      <c r="H13" s="21"/>
    </row>
    <row r="14" spans="2:8" ht="13.5" thickBot="1" x14ac:dyDescent="0.25">
      <c r="B14" s="20"/>
      <c r="C14" s="377"/>
      <c r="D14" s="281" t="s">
        <v>14</v>
      </c>
      <c r="E14" s="298" t="s">
        <v>15</v>
      </c>
      <c r="F14" s="297"/>
      <c r="G14" s="296">
        <v>5000</v>
      </c>
      <c r="H14" s="21"/>
    </row>
    <row r="15" spans="2:8" x14ac:dyDescent="0.2">
      <c r="B15" s="20"/>
      <c r="C15" s="376" t="s">
        <v>17</v>
      </c>
      <c r="D15" s="282" t="s">
        <v>10</v>
      </c>
      <c r="E15" s="295" t="s">
        <v>18</v>
      </c>
      <c r="F15" s="294"/>
      <c r="G15" s="293">
        <v>240</v>
      </c>
      <c r="H15" s="21"/>
    </row>
    <row r="16" spans="2:8" x14ac:dyDescent="0.2">
      <c r="B16" s="20"/>
      <c r="C16" s="377"/>
      <c r="D16" s="281" t="s">
        <v>12</v>
      </c>
      <c r="E16" s="292" t="s">
        <v>19</v>
      </c>
      <c r="F16" s="291"/>
      <c r="G16" s="290">
        <v>120</v>
      </c>
      <c r="H16" s="21"/>
    </row>
    <row r="17" spans="2:8" ht="13.5" thickBot="1" x14ac:dyDescent="0.25">
      <c r="B17" s="20"/>
      <c r="C17" s="377"/>
      <c r="D17" s="281" t="s">
        <v>14</v>
      </c>
      <c r="E17" s="292" t="s">
        <v>20</v>
      </c>
      <c r="F17" s="291"/>
      <c r="G17" s="290">
        <v>30</v>
      </c>
      <c r="H17" s="21"/>
    </row>
    <row r="18" spans="2:8" ht="12.75" customHeight="1" x14ac:dyDescent="0.2">
      <c r="B18" s="20"/>
      <c r="C18" s="376" t="s">
        <v>21</v>
      </c>
      <c r="D18" s="282" t="s">
        <v>10</v>
      </c>
      <c r="E18" s="295" t="s">
        <v>22</v>
      </c>
      <c r="F18" s="294"/>
      <c r="G18" s="293">
        <v>0.5</v>
      </c>
      <c r="H18" s="21"/>
    </row>
    <row r="19" spans="2:8" ht="12.75" customHeight="1" x14ac:dyDescent="0.2">
      <c r="B19" s="20"/>
      <c r="C19" s="377"/>
      <c r="D19" s="281" t="s">
        <v>12</v>
      </c>
      <c r="E19" s="292" t="s">
        <v>23</v>
      </c>
      <c r="F19" s="291"/>
      <c r="G19" s="290">
        <v>0.25</v>
      </c>
      <c r="H19" s="21"/>
    </row>
    <row r="20" spans="2:8" ht="12.75" customHeight="1" thickBot="1" x14ac:dyDescent="0.25">
      <c r="B20" s="20"/>
      <c r="C20" s="378"/>
      <c r="D20" s="280" t="s">
        <v>14</v>
      </c>
      <c r="E20" s="289" t="s">
        <v>24</v>
      </c>
      <c r="F20" s="288"/>
      <c r="G20" s="287">
        <v>0.05</v>
      </c>
      <c r="H20" s="21"/>
    </row>
    <row r="21" spans="2:8" ht="15" thickBot="1" x14ac:dyDescent="0.25">
      <c r="B21" s="23"/>
      <c r="C21" s="286"/>
      <c r="D21" s="286"/>
      <c r="E21" s="286"/>
      <c r="F21" s="286"/>
      <c r="G21" s="286"/>
      <c r="H21" s="25"/>
    </row>
    <row r="22" spans="2:8" ht="15" thickBot="1" x14ac:dyDescent="0.25">
      <c r="C22"/>
      <c r="D22"/>
      <c r="E22"/>
      <c r="F22"/>
      <c r="G22"/>
    </row>
    <row r="23" spans="2:8" ht="10.5" customHeight="1" x14ac:dyDescent="0.2">
      <c r="B23" s="17"/>
      <c r="C23" s="285"/>
      <c r="D23" s="285"/>
      <c r="E23" s="285"/>
      <c r="F23" s="285"/>
      <c r="G23" s="285"/>
      <c r="H23" s="19"/>
    </row>
    <row r="24" spans="2:8" ht="122.1" customHeight="1" thickBot="1" x14ac:dyDescent="0.25">
      <c r="B24" s="20"/>
      <c r="C24" s="373" t="s">
        <v>25</v>
      </c>
      <c r="D24" s="373"/>
      <c r="E24" s="373"/>
      <c r="F24" s="373"/>
      <c r="G24" s="373"/>
      <c r="H24" s="21"/>
    </row>
    <row r="25" spans="2:8" ht="13.5" customHeight="1" thickBot="1" x14ac:dyDescent="0.25">
      <c r="B25" s="20"/>
      <c r="C25" s="374" t="s">
        <v>26</v>
      </c>
      <c r="D25" s="375"/>
      <c r="E25" s="374" t="s">
        <v>27</v>
      </c>
      <c r="F25" s="379"/>
      <c r="G25" s="375"/>
      <c r="H25" s="21"/>
    </row>
    <row r="26" spans="2:8" ht="15" customHeight="1" x14ac:dyDescent="0.2">
      <c r="B26" s="20"/>
      <c r="C26" s="380" t="s">
        <v>28</v>
      </c>
      <c r="D26" s="282" t="s">
        <v>10</v>
      </c>
      <c r="E26" s="383" t="s">
        <v>29</v>
      </c>
      <c r="F26" s="384"/>
      <c r="G26" s="385"/>
      <c r="H26" s="21"/>
    </row>
    <row r="27" spans="2:8" x14ac:dyDescent="0.2">
      <c r="B27" s="20"/>
      <c r="C27" s="381"/>
      <c r="D27" s="281" t="s">
        <v>12</v>
      </c>
      <c r="E27" s="386" t="s">
        <v>30</v>
      </c>
      <c r="F27" s="387"/>
      <c r="G27" s="388"/>
      <c r="H27" s="21"/>
    </row>
    <row r="28" spans="2:8" ht="15.75" customHeight="1" thickBot="1" x14ac:dyDescent="0.25">
      <c r="B28" s="20"/>
      <c r="C28" s="382"/>
      <c r="D28" s="280" t="s">
        <v>14</v>
      </c>
      <c r="E28" s="389" t="s">
        <v>31</v>
      </c>
      <c r="F28" s="390"/>
      <c r="G28" s="391"/>
      <c r="H28" s="21"/>
    </row>
    <row r="29" spans="2:8" ht="15" customHeight="1" x14ac:dyDescent="0.2">
      <c r="B29" s="20"/>
      <c r="C29" s="380" t="s">
        <v>32</v>
      </c>
      <c r="D29" s="282" t="s">
        <v>10</v>
      </c>
      <c r="E29" s="383" t="s">
        <v>33</v>
      </c>
      <c r="F29" s="384"/>
      <c r="G29" s="385"/>
      <c r="H29" s="21"/>
    </row>
    <row r="30" spans="2:8" x14ac:dyDescent="0.2">
      <c r="B30" s="20"/>
      <c r="C30" s="381"/>
      <c r="D30" s="281" t="s">
        <v>12</v>
      </c>
      <c r="E30" s="386" t="s">
        <v>34</v>
      </c>
      <c r="F30" s="387"/>
      <c r="G30" s="388"/>
      <c r="H30" s="21"/>
    </row>
    <row r="31" spans="2:8" ht="15.75" customHeight="1" thickBot="1" x14ac:dyDescent="0.25">
      <c r="B31" s="20"/>
      <c r="C31" s="382"/>
      <c r="D31" s="280" t="s">
        <v>14</v>
      </c>
      <c r="E31" s="389" t="s">
        <v>35</v>
      </c>
      <c r="F31" s="390"/>
      <c r="G31" s="391"/>
      <c r="H31" s="279"/>
    </row>
    <row r="32" spans="2:8" ht="13.5" thickBot="1" x14ac:dyDescent="0.25">
      <c r="B32" s="23"/>
      <c r="C32" s="24"/>
      <c r="D32" s="24"/>
      <c r="E32" s="24"/>
      <c r="F32" s="24"/>
      <c r="G32" s="24"/>
      <c r="H32" s="25"/>
    </row>
    <row r="33" spans="2:10" ht="13.5" thickBot="1" x14ac:dyDescent="0.25"/>
    <row r="34" spans="2:10" ht="10.5" customHeight="1" x14ac:dyDescent="0.2">
      <c r="B34" s="17"/>
      <c r="C34" s="18"/>
      <c r="D34" s="18"/>
      <c r="E34" s="18"/>
      <c r="F34" s="18"/>
      <c r="G34" s="18"/>
      <c r="H34" s="19"/>
      <c r="I34"/>
    </row>
    <row r="35" spans="2:10" ht="91.5" customHeight="1" thickBot="1" x14ac:dyDescent="0.25">
      <c r="B35" s="20"/>
      <c r="C35" s="373" t="s">
        <v>36</v>
      </c>
      <c r="D35" s="373"/>
      <c r="E35" s="373"/>
      <c r="F35" s="373"/>
      <c r="G35" s="373"/>
      <c r="H35" s="21"/>
      <c r="I35"/>
    </row>
    <row r="36" spans="2:10" ht="28.5" customHeight="1" thickBot="1" x14ac:dyDescent="0.25">
      <c r="B36" s="20"/>
      <c r="C36" s="278" t="s">
        <v>37</v>
      </c>
      <c r="D36" s="277">
        <v>1960</v>
      </c>
      <c r="E36" s="22"/>
      <c r="F36" s="22"/>
      <c r="G36" s="22"/>
      <c r="H36" s="21"/>
    </row>
    <row r="37" spans="2:10" ht="13.5" thickBot="1" x14ac:dyDescent="0.25">
      <c r="B37" s="23"/>
      <c r="C37" s="24"/>
      <c r="D37" s="24"/>
      <c r="E37" s="24"/>
      <c r="F37" s="24"/>
      <c r="G37" s="24"/>
      <c r="H37" s="25"/>
    </row>
    <row r="39" spans="2:10" ht="13.5" thickBot="1" x14ac:dyDescent="0.25"/>
    <row r="40" spans="2:10" x14ac:dyDescent="0.2">
      <c r="B40" s="17"/>
      <c r="C40" s="18"/>
      <c r="D40" s="18"/>
      <c r="E40" s="18"/>
      <c r="F40" s="18"/>
      <c r="G40" s="18"/>
      <c r="H40" s="19"/>
    </row>
    <row r="41" spans="2:10" ht="75.599999999999994" customHeight="1" thickBot="1" x14ac:dyDescent="0.25">
      <c r="B41" s="20"/>
      <c r="C41" s="373" t="s">
        <v>38</v>
      </c>
      <c r="D41" s="373"/>
      <c r="E41" s="373"/>
      <c r="F41" s="373"/>
      <c r="G41" s="373"/>
      <c r="H41" s="21"/>
      <c r="I41"/>
      <c r="J41"/>
    </row>
    <row r="42" spans="2:10" ht="29.25" customHeight="1" thickBot="1" x14ac:dyDescent="0.25">
      <c r="B42" s="20"/>
      <c r="C42" s="278" t="s">
        <v>39</v>
      </c>
      <c r="D42" s="277">
        <v>2026</v>
      </c>
      <c r="E42" s="22"/>
      <c r="F42" s="22"/>
      <c r="G42" s="22"/>
      <c r="H42" s="21"/>
    </row>
    <row r="43" spans="2:10" ht="13.5" thickBot="1" x14ac:dyDescent="0.25">
      <c r="B43" s="23"/>
      <c r="C43" s="24"/>
      <c r="D43" s="24"/>
      <c r="E43" s="24"/>
      <c r="F43" s="24"/>
      <c r="G43" s="24"/>
      <c r="H43" s="25"/>
    </row>
  </sheetData>
  <mergeCells count="21">
    <mergeCell ref="C35:G35"/>
    <mergeCell ref="C41:G41"/>
    <mergeCell ref="C26:C28"/>
    <mergeCell ref="E26:G26"/>
    <mergeCell ref="E27:G27"/>
    <mergeCell ref="E28:G28"/>
    <mergeCell ref="C29:C31"/>
    <mergeCell ref="E29:G29"/>
    <mergeCell ref="E30:G30"/>
    <mergeCell ref="E31:G31"/>
    <mergeCell ref="C12:C14"/>
    <mergeCell ref="C15:C17"/>
    <mergeCell ref="C18:C20"/>
    <mergeCell ref="C24:G24"/>
    <mergeCell ref="C25:D25"/>
    <mergeCell ref="E25:G25"/>
    <mergeCell ref="B2:H2"/>
    <mergeCell ref="B3:H3"/>
    <mergeCell ref="C7:G7"/>
    <mergeCell ref="C8:D8"/>
    <mergeCell ref="C9:C1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481D6-832E-436F-86E5-5BB782522297}">
  <dimension ref="B2:I47"/>
  <sheetViews>
    <sheetView showGridLines="0" workbookViewId="0">
      <selection activeCell="C26" sqref="C26"/>
    </sheetView>
  </sheetViews>
  <sheetFormatPr defaultRowHeight="14.25" x14ac:dyDescent="0.2"/>
  <cols>
    <col min="1" max="1" width="2.375" customWidth="1"/>
    <col min="2" max="2" width="5.625" customWidth="1"/>
    <col min="3" max="3" width="60.25" customWidth="1"/>
    <col min="4" max="4" width="23.625" customWidth="1"/>
    <col min="5" max="5" width="5.625" customWidth="1"/>
    <col min="6" max="6" width="10.625" customWidth="1"/>
    <col min="7" max="7" width="47.5" customWidth="1"/>
    <col min="8" max="8" width="49" customWidth="1"/>
    <col min="9" max="9" width="23.375" customWidth="1"/>
    <col min="10" max="10" width="28.75" customWidth="1"/>
    <col min="11" max="11" width="30.5" customWidth="1"/>
  </cols>
  <sheetData>
    <row r="2" spans="2:9" ht="28.5" customHeight="1" x14ac:dyDescent="0.2">
      <c r="B2" s="370" t="s">
        <v>40</v>
      </c>
      <c r="C2" s="371"/>
      <c r="D2" s="371"/>
      <c r="E2" s="371"/>
      <c r="F2" s="371"/>
      <c r="G2" s="371"/>
      <c r="H2" s="371"/>
    </row>
    <row r="4" spans="2:9" ht="53.25" customHeight="1" thickBot="1" x14ac:dyDescent="0.25">
      <c r="B4" s="396" t="s">
        <v>41</v>
      </c>
      <c r="C4" s="396"/>
      <c r="D4" s="396"/>
      <c r="E4" s="396"/>
      <c r="F4" s="396"/>
      <c r="G4" s="396"/>
      <c r="H4" s="396"/>
    </row>
    <row r="5" spans="2:9" s="1" customFormat="1" ht="45" customHeight="1" x14ac:dyDescent="0.2">
      <c r="B5" s="17"/>
      <c r="C5" s="18"/>
      <c r="D5" s="18"/>
      <c r="E5" s="19"/>
      <c r="G5" s="255" t="s">
        <v>42</v>
      </c>
      <c r="H5" s="256" t="s">
        <v>43</v>
      </c>
    </row>
    <row r="6" spans="2:9" s="1" customFormat="1" ht="45" customHeight="1" x14ac:dyDescent="0.2">
      <c r="B6" s="20"/>
      <c r="C6" s="394" t="s">
        <v>44</v>
      </c>
      <c r="D6" s="395"/>
      <c r="E6" s="34"/>
      <c r="G6" s="31" t="str">
        <f>IF('9. List &amp; Calc'!C15="", "", '9. List &amp; Calc'!C15)</f>
        <v>Monetize data and services through premium APIs.</v>
      </c>
      <c r="H6" s="31" t="str">
        <f>IF('9. List &amp; Calc'!D15="", "", '9. List &amp; Calc'!D15)</f>
        <v>Safely enable new revenue streams for your data and services by providing secure application programming interfaces (API) capabilities for your customers.</v>
      </c>
    </row>
    <row r="7" spans="2:9" s="1" customFormat="1" ht="45" customHeight="1" x14ac:dyDescent="0.2">
      <c r="B7" s="20"/>
      <c r="C7" s="399" t="s">
        <v>45</v>
      </c>
      <c r="D7" s="399"/>
      <c r="E7" s="34"/>
      <c r="G7" s="252" t="str">
        <f>IF('9. List &amp; Calc'!C16="", "", '9. List &amp; Calc'!C16)</f>
        <v>Faster time to value for new products.</v>
      </c>
      <c r="H7" s="32" t="str">
        <f>IF('9. List &amp; Calc'!D16="", "", '9. List &amp; Calc'!D16)</f>
        <v>Bring new products and services to market faster by collapsing lengthy security checkpoints.</v>
      </c>
    </row>
    <row r="8" spans="2:9" s="1" customFormat="1" ht="45" customHeight="1" thickBot="1" x14ac:dyDescent="0.25">
      <c r="B8" s="20"/>
      <c r="C8" s="247" t="s">
        <v>44</v>
      </c>
      <c r="D8" s="22"/>
      <c r="E8" s="34"/>
      <c r="G8" s="31" t="str">
        <f>IF('9. List &amp; Calc'!C17="", "", '9. List &amp; Calc'!C17)</f>
        <v>Reduce compliance costs and enter new regulated markets faster.</v>
      </c>
      <c r="H8" s="31" t="str">
        <f>IF('9. List &amp; Calc'!D17="", "", '9. List &amp; Calc'!D17)</f>
        <v>Cut audit preparation effort, turning compliance from a go/no‑go barrier into a predictable, budgeted line item when entering new regulated markets.</v>
      </c>
    </row>
    <row r="9" spans="2:9" s="1" customFormat="1" ht="45" customHeight="1" thickTop="1" x14ac:dyDescent="0.2">
      <c r="B9" s="20"/>
      <c r="C9" s="248" t="s">
        <v>506</v>
      </c>
      <c r="D9" s="22"/>
      <c r="E9" s="34"/>
      <c r="G9" s="252" t="str">
        <f>IF('9. List &amp; Calc'!C18="", "", '9. List &amp; Calc'!C18)</f>
        <v>Reduce cyber‑insurance premiums and borrowing costs.</v>
      </c>
      <c r="H9" s="32" t="str">
        <f>IF('9. List &amp; Calc'!D18="", "", '9. List &amp; Calc'!D18)</f>
        <v>Verified controls translate directly into lower insurance rates and better debt covenants.</v>
      </c>
    </row>
    <row r="10" spans="2:9" s="1" customFormat="1" ht="45" customHeight="1" thickBot="1" x14ac:dyDescent="0.25">
      <c r="B10" s="20"/>
      <c r="C10" s="249" t="s">
        <v>510</v>
      </c>
      <c r="D10" s="22"/>
      <c r="E10" s="21"/>
      <c r="G10" s="31" t="str">
        <f>IF('9. List &amp; Calc'!C19="", "", '9. List &amp; Calc'!C19)</f>
        <v>Accelerate AI &amp; advanced analytics initiatives.</v>
      </c>
      <c r="H10" s="31" t="str">
        <f>IF('9. List &amp; Calc'!D19="", "", '9. List &amp; Calc'!D19)</f>
        <v>Ensure models and applications do not leak PII, allowing unrestricted exploitation of high‑value datasets.</v>
      </c>
    </row>
    <row r="11" spans="2:9" s="1" customFormat="1" ht="45" customHeight="1" thickTop="1" x14ac:dyDescent="0.2">
      <c r="B11" s="20"/>
      <c r="C11" s="248" t="s">
        <v>514</v>
      </c>
      <c r="D11" s="22"/>
      <c r="E11" s="21"/>
      <c r="G11" s="252" t="str">
        <f>IF('9. List &amp; Calc'!C20="", "", '9. List &amp; Calc'!C20)</f>
        <v>Complete technology M&amp;A integrations faster.</v>
      </c>
      <c r="H11" s="32" t="str">
        <f>IF('9. List &amp; Calc'!D20="", "", '9. List &amp; Calc'!D20)</f>
        <v>Provide instant visibility into inherited risk, avoiding lengthy manual code reviews that stall deal synergies.</v>
      </c>
      <c r="I11" s="68"/>
    </row>
    <row r="12" spans="2:9" s="1" customFormat="1" ht="45" customHeight="1" x14ac:dyDescent="0.2">
      <c r="B12" s="20"/>
      <c r="C12" s="22"/>
      <c r="D12" s="22"/>
      <c r="E12" s="21"/>
      <c r="G12" s="31" t="str">
        <f>IF('9. List &amp; Calc'!C21="", "", '9. List &amp; Calc'!C21)</f>
        <v>Increase uptime for digital revenue channels.</v>
      </c>
      <c r="H12" s="31" t="str">
        <f>IF('9. List &amp; Calc'!D21="", "", '9. List &amp; Calc'!D21)</f>
        <v>Maintain customer transactions during security incidents, protecting revenue and brand in real time.</v>
      </c>
    </row>
    <row r="13" spans="2:9" s="1" customFormat="1" ht="45" customHeight="1" thickBot="1" x14ac:dyDescent="0.25">
      <c r="B13" s="23"/>
      <c r="C13" s="24"/>
      <c r="D13" s="24"/>
      <c r="E13" s="25"/>
      <c r="G13" s="252" t="str">
        <f>IF('9. List &amp; Calc'!C22="", "", '9. List &amp; Calc'!C22)</f>
        <v>Scale partner ecosystems without expanding the attack surface.</v>
      </c>
      <c r="H13" s="32" t="str">
        <f>IF('9. List &amp; Calc'!D22="", "", '9. List &amp; Calc'!D22)</f>
        <v>Add partners rapidly while keeping every integration compartmentalized and auditable.</v>
      </c>
    </row>
    <row r="14" spans="2:9" ht="45" customHeight="1" x14ac:dyDescent="0.2">
      <c r="G14" s="31" t="str">
        <f>IF('9. List &amp; Calc'!C23="", "", '9. List &amp; Calc'!C23)</f>
        <v>Strengthen brand loyalty and customer trust.</v>
      </c>
      <c r="H14" s="31" t="str">
        <f>IF('9. List &amp; Calc'!D23="", "", '9. List &amp; Calc'!D23)</f>
        <v>Build digital trust by safeguarding customer journeys that shape digital experience and perception.</v>
      </c>
    </row>
    <row r="15" spans="2:9" ht="45" customHeight="1" thickBot="1" x14ac:dyDescent="0.25"/>
    <row r="16" spans="2:9" ht="45" customHeight="1" x14ac:dyDescent="0.2">
      <c r="B16" s="17"/>
      <c r="C16" s="18"/>
      <c r="D16" s="18"/>
      <c r="E16" s="19"/>
      <c r="G16" s="255" t="s">
        <v>46</v>
      </c>
      <c r="H16" s="256" t="s">
        <v>47</v>
      </c>
    </row>
    <row r="17" spans="2:8" ht="45" customHeight="1" x14ac:dyDescent="0.2">
      <c r="B17" s="20"/>
      <c r="C17" s="394" t="s">
        <v>48</v>
      </c>
      <c r="D17" s="395"/>
      <c r="E17" s="34"/>
      <c r="G17" s="31" t="str">
        <f>IF('9. List &amp; Calc'!C27="", "", '9. List &amp; Calc'!C27)</f>
        <v>Software supply‑chain compromise.</v>
      </c>
      <c r="H17" s="31" t="str">
        <f>IF('9. List &amp; Calc'!D27="", "", '9. List &amp; Calc'!D27)</f>
        <v>Reduce risk of business impacts due to compromised software supply chains.</v>
      </c>
    </row>
    <row r="18" spans="2:8" ht="45" customHeight="1" x14ac:dyDescent="0.2">
      <c r="B18" s="20"/>
      <c r="C18" s="392" t="s">
        <v>49</v>
      </c>
      <c r="D18" s="392"/>
      <c r="E18" s="34"/>
      <c r="G18" s="252" t="str">
        <f>IF('9. List &amp; Calc'!C28="", "", '9. List &amp; Calc'!C28)</f>
        <v>Mass credential‑stuffing and account takeover.</v>
      </c>
      <c r="H18" s="32" t="str">
        <f>IF('9. List &amp; Calc'!D28="", "", '9. List &amp; Calc'!D28)</f>
        <v>Protect the company’s revenue channels and brand trust by preventing fraudulent transactions.</v>
      </c>
    </row>
    <row r="19" spans="2:8" ht="45" customHeight="1" thickBot="1" x14ac:dyDescent="0.25">
      <c r="B19" s="20"/>
      <c r="C19" s="247" t="s">
        <v>48</v>
      </c>
      <c r="D19" s="22"/>
      <c r="E19" s="34"/>
      <c r="G19" s="31" t="str">
        <f>IF('9. List &amp; Calc'!C29="", "", '9. List &amp; Calc'!C29)</f>
        <v>Business‑logic abuse through exposed APIs.</v>
      </c>
      <c r="H19" s="31" t="str">
        <f>IF('9. List &amp; Calc'!D29="", "", '9. List &amp; Calc'!D29)</f>
        <v>Turn APIs from a liability into a controlled asset, preserving digital revenues and preventing competitor access to your data.</v>
      </c>
    </row>
    <row r="20" spans="2:8" ht="45" customHeight="1" thickTop="1" x14ac:dyDescent="0.2">
      <c r="B20" s="20"/>
      <c r="C20" s="248" t="s">
        <v>526</v>
      </c>
      <c r="D20" s="22"/>
      <c r="E20" s="34"/>
      <c r="G20" s="252" t="str">
        <f>IF('9. List &amp; Calc'!C30="", "", '9. List &amp; Calc'!C30)</f>
        <v>Ransomware beachhead via vulnerable web apps.</v>
      </c>
      <c r="H20" s="32" t="str">
        <f>IF('9. List &amp; Calc'!D30="", "", '9. List &amp; Calc'!D30)</f>
        <v>Shrink attacks window from weeks to hours, denying cyber criminals the foothold they need to disrupt revenue‑producing systems.</v>
      </c>
    </row>
    <row r="21" spans="2:8" ht="45" customHeight="1" thickBot="1" x14ac:dyDescent="0.25">
      <c r="B21" s="20"/>
      <c r="C21" s="249" t="s">
        <v>528</v>
      </c>
      <c r="D21" s="22"/>
      <c r="E21" s="21"/>
      <c r="G21" s="31" t="str">
        <f>IF('9. List &amp; Calc'!C31="", "", '9. List &amp; Calc'!C31)</f>
        <v>Prolonged service outage due to zero-day attacks.</v>
      </c>
      <c r="H21" s="31" t="str">
        <f>IF('9. List &amp; Calc'!D31="", "", '9. List &amp; Calc'!D31)</f>
        <v>Keep critical digital services online even when patching is impossible, preserving daily revenue and market confidence.</v>
      </c>
    </row>
    <row r="22" spans="2:8" ht="45" customHeight="1" thickTop="1" x14ac:dyDescent="0.2">
      <c r="B22" s="20"/>
      <c r="C22" s="248" t="s">
        <v>534</v>
      </c>
      <c r="D22" s="22"/>
      <c r="E22" s="21"/>
      <c r="G22" s="252" t="str">
        <f>IF('9. List &amp; Calc'!C32="", "", '9. List &amp; Calc'!C32)</f>
        <v>Sensitive‑data leakage in AI‑enabled apps.</v>
      </c>
      <c r="H22" s="32" t="str">
        <f>IF('9. List &amp; Calc'!D32="", "", '9. List &amp; Calc'!D32)</f>
        <v>Enable aggressive AI adoption without triggering privacy fines or IP loss, safeguarding future growth bets.</v>
      </c>
    </row>
    <row r="23" spans="2:8" ht="45" customHeight="1" x14ac:dyDescent="0.2">
      <c r="B23" s="20"/>
      <c r="C23" s="22"/>
      <c r="D23" s="22"/>
      <c r="E23" s="21"/>
      <c r="G23" s="31" t="str">
        <f>IF('9. List &amp; Calc'!C33="", "", '9. List &amp; Calc'!C33)</f>
        <v>Insider misuse or privileged‑user abuse of critical functions.</v>
      </c>
      <c r="H23" s="31" t="str">
        <f>IF('9. List &amp; Calc'!D33="", "", '9. List &amp; Calc'!D33)</f>
        <v>Turn insider risk into a detectable, auditable event, limiting impact and demonstrating diligence to shareholders.</v>
      </c>
    </row>
    <row r="24" spans="2:8" ht="45" customHeight="1" thickBot="1" x14ac:dyDescent="0.25">
      <c r="B24" s="23"/>
      <c r="C24" s="24"/>
      <c r="D24" s="24"/>
      <c r="E24" s="25"/>
      <c r="G24" s="252" t="str">
        <f>IF('9. List &amp; Calc'!C34="", "", '9. List &amp; Calc'!C34)</f>
        <v>Quantum computing renders legacy encryption obsolete.</v>
      </c>
      <c r="H24" s="32" t="str">
        <f>IF('9. List &amp; Calc'!D34="", "", '9. List &amp; Calc'!D34)</f>
        <v>Safeguard crown jewel data when current generation encryption fails under attack by quantum computers.</v>
      </c>
    </row>
    <row r="25" spans="2:8" ht="45" customHeight="1" x14ac:dyDescent="0.2">
      <c r="G25" s="31" t="str">
        <f>IF('9. List &amp; Calc'!C35="", "", '9. List &amp; Calc'!C35)</f>
        <v>Nation-state attack on critical infrastructure via sleeper accounts.</v>
      </c>
      <c r="H25" s="31" t="str">
        <f>IF('9. List &amp; Calc'!D35="", "", '9. List &amp; Calc'!D35)</f>
        <v>Protect critical infrastructure from advanced persistent threats using long-term account compromise.</v>
      </c>
    </row>
    <row r="26" spans="2:8" ht="45" customHeight="1" thickBot="1" x14ac:dyDescent="0.25"/>
    <row r="27" spans="2:8" ht="45" customHeight="1" x14ac:dyDescent="0.2">
      <c r="B27" s="17"/>
      <c r="C27" s="18"/>
      <c r="D27" s="18"/>
      <c r="E27" s="19"/>
      <c r="G27" s="29" t="s">
        <v>50</v>
      </c>
      <c r="H27" s="30" t="s">
        <v>51</v>
      </c>
    </row>
    <row r="28" spans="2:8" ht="45" customHeight="1" x14ac:dyDescent="0.2">
      <c r="B28" s="20"/>
      <c r="C28" s="397" t="s">
        <v>52</v>
      </c>
      <c r="D28" s="398"/>
      <c r="E28" s="34"/>
      <c r="G28" s="31" t="str">
        <f>IF('9. List &amp; Calc'!C38="", "", '9. List &amp; Calc'!C38)</f>
        <v>Mean Time to Remediate (MTTR) Critical Vulnerabilities.</v>
      </c>
      <c r="H28" s="251" t="str">
        <f>IF('9. List &amp; Calc'!D38="", "", '9. List &amp; Calc'!D38)</f>
        <v>Average number of days from detection to remediation for CVEs rated critical or high (track via SAST/DAST/SCA tools + ticketing system).</v>
      </c>
    </row>
    <row r="29" spans="2:8" ht="45" customHeight="1" x14ac:dyDescent="0.2">
      <c r="B29" s="20"/>
      <c r="C29" s="392" t="s">
        <v>53</v>
      </c>
      <c r="D29" s="393"/>
      <c r="E29" s="34"/>
      <c r="G29" s="252" t="str">
        <f>IF('9. List &amp; Calc'!C39="", "", '9. List &amp; Calc'!C39)</f>
        <v>Percentage of Third-Party Components Without Known Vulnerabilities.</v>
      </c>
      <c r="H29" s="252" t="str">
        <f>IF('9. List &amp; Calc'!D39="", "", '9. List &amp; Calc'!D39)</f>
        <v>Count of external libraries/packages scanned by SCA tools with 0 known CVEs; total components used.</v>
      </c>
    </row>
    <row r="30" spans="2:8" ht="45" customHeight="1" thickBot="1" x14ac:dyDescent="0.25">
      <c r="B30" s="20"/>
      <c r="C30" s="247" t="s">
        <v>52</v>
      </c>
      <c r="D30" s="22"/>
      <c r="E30" s="34"/>
      <c r="G30" s="31" t="str">
        <f>IF('9. List &amp; Calc'!C40="", "", '9. List &amp; Calc'!C40)</f>
        <v>Credential Stuffing Detection Rate.</v>
      </c>
      <c r="H30" s="251" t="str">
        <f>IF('9. List &amp; Calc'!D40="", "", '9. List &amp; Calc'!D40)</f>
        <v>Number of credential stuffing attempts detected per month, tracked via WAF logs, SIEM, or identity provider analytics.</v>
      </c>
    </row>
    <row r="31" spans="2:8" ht="45" customHeight="1" thickTop="1" thickBot="1" x14ac:dyDescent="0.25">
      <c r="B31" s="20"/>
      <c r="C31" s="27" t="s">
        <v>54</v>
      </c>
      <c r="D31" s="22"/>
      <c r="E31" s="34"/>
      <c r="G31" s="252" t="str">
        <f>IF('9. List &amp; Calc'!C41="", "", '9. List &amp; Calc'!C41)</f>
        <v>Security Coverage in CI/CD Pipeline.</v>
      </c>
      <c r="H31" s="252" t="str">
        <f>IF('9. List &amp; Calc'!D41="", "", '9. List &amp; Calc'!D41)</f>
        <v>% of CI/CD jobs that include SAST, DAST, SCA, secrets scanning, or IaC scanning.</v>
      </c>
    </row>
    <row r="32" spans="2:8" ht="45" customHeight="1" thickTop="1" x14ac:dyDescent="0.2">
      <c r="B32" s="20"/>
      <c r="C32" s="26" t="s">
        <v>55</v>
      </c>
      <c r="D32" s="22"/>
      <c r="E32" s="21"/>
      <c r="G32" s="31" t="str">
        <f>IF('9. List &amp; Calc'!C42="", "", '9. List &amp; Calc'!C42)</f>
        <v>Time to Patch Zero-Day Vulnerabilities.</v>
      </c>
      <c r="H32" s="251" t="str">
        <f>IF('9. List &amp; Calc'!D42="", "", '9. List &amp; Calc'!D42)</f>
        <v>Measure time from vendor disclosure of zero-day to patch deployment in production.</v>
      </c>
    </row>
    <row r="33" spans="2:8" ht="45" customHeight="1" thickBot="1" x14ac:dyDescent="0.25">
      <c r="B33" s="20"/>
      <c r="C33" s="27" t="s">
        <v>56</v>
      </c>
      <c r="D33" s="22"/>
      <c r="E33" s="21"/>
      <c r="G33" s="252" t="str">
        <f>IF('9. List &amp; Calc'!C43="", "", '9. List &amp; Calc'!C43)</f>
        <v>Percentage of APIs With Business Logic Testing.</v>
      </c>
      <c r="H33" s="252" t="str">
        <f>IF('9. List &amp; Calc'!D43="", "", '9. List &amp; Calc'!D43)</f>
        <v>Number of APIs with completed business logic abuse tests; total APIs in production.</v>
      </c>
    </row>
    <row r="34" spans="2:8" ht="45" customHeight="1" thickTop="1" x14ac:dyDescent="0.2">
      <c r="B34" s="20"/>
      <c r="C34" s="26" t="s">
        <v>57</v>
      </c>
      <c r="D34" s="22"/>
      <c r="E34" s="21"/>
      <c r="G34" s="31" t="str">
        <f>IF('9. List &amp; Calc'!C44="", "", '9. List &amp; Calc'!C44)</f>
        <v>Data Exposure Events From AI Workloads.</v>
      </c>
      <c r="H34" s="251" t="str">
        <f>IF('9. List &amp; Calc'!D44="", "", '9. List &amp; Calc'!D44)</f>
        <v>Count of security events involving PII or sensitive data leaks from AI features, tracked via DLP tools or incident logs.</v>
      </c>
    </row>
    <row r="35" spans="2:8" ht="45" customHeight="1" x14ac:dyDescent="0.2">
      <c r="B35" s="253"/>
      <c r="C35" s="22"/>
      <c r="D35" s="22"/>
      <c r="E35" s="254"/>
      <c r="G35" s="252" t="str">
        <f>IF('9. List &amp; Calc'!C45="", "", '9. List &amp; Calc'!C45)</f>
        <v>Quantum-Resilience Readiness.</v>
      </c>
      <c r="H35" s="252" t="str">
        <f>IF('9. List &amp; Calc'!D45="", "", '9. List &amp; Calc'!D45)</f>
        <v>Percent of crypto assets inventoried and evaluated for post-quantum readiness.</v>
      </c>
    </row>
    <row r="36" spans="2:8" ht="45" customHeight="1" thickBot="1" x14ac:dyDescent="0.25">
      <c r="B36" s="23"/>
      <c r="C36" s="24"/>
      <c r="D36" s="24"/>
      <c r="E36" s="25"/>
      <c r="G36" s="31" t="str">
        <f>IF('9. List &amp; Calc'!C46="", "", '9. List &amp; Calc'!C46)</f>
        <v>Insider Threat Detections.</v>
      </c>
      <c r="H36" s="251" t="str">
        <f>IF('9. List &amp; Calc'!D46="", "", '9. List &amp; Calc'!D46)</f>
        <v>Number of suspicious privileged actions or misuse attempts logged and investigated.</v>
      </c>
    </row>
    <row r="37" spans="2:8" ht="45" customHeight="1" x14ac:dyDescent="0.2">
      <c r="G37" s="252" t="str">
        <f>IF('9. List &amp; Calc'!C47="", "", '9. List &amp; Calc'!C47)</f>
        <v>Average Time to Enable Secure Partner Integrations.</v>
      </c>
      <c r="H37" s="252" t="str">
        <f>IF('9. List &amp; Calc'!D47="", "", '9. List &amp; Calc'!D47)</f>
        <v>Days from partner onboarding request to secure API/key deployment and access enablement.</v>
      </c>
    </row>
    <row r="38" spans="2:8" ht="45" customHeight="1" x14ac:dyDescent="0.2">
      <c r="G38" s="31" t="str">
        <f>IF('9. List &amp; Calc'!C48="", "", '9. List &amp; Calc'!C48)</f>
        <v>Percent of Business Applications With Risk-Based Classification.</v>
      </c>
      <c r="H38" s="251" t="str">
        <f>IF('9. List &amp; Calc'!D48="", "", '9. List &amp; Calc'!D48)</f>
        <v>Business apps tagged by sensitivity and risk level; total app inventory.</v>
      </c>
    </row>
    <row r="39" spans="2:8" ht="45" customHeight="1" x14ac:dyDescent="0.2">
      <c r="G39" s="252" t="str">
        <f>IF('9. List &amp; Calc'!C49="", "", '9. List &amp; Calc'!C49)</f>
        <v>Percent of Open, Premium APIs With Security Controls.</v>
      </c>
      <c r="H39" s="252" t="str">
        <f>IF('9. List &amp; Calc'!D49="", "", '9. List &amp; Calc'!D49)</f>
        <v>APIs exposed for partner/customer access that implement authN/Z, rate limiting, logging, threat detection.</v>
      </c>
    </row>
    <row r="40" spans="2:8" ht="45" customHeight="1" x14ac:dyDescent="0.2">
      <c r="G40" s="31" t="str">
        <f>IF('9. List &amp; Calc'!C50="", "", '9. List &amp; Calc'!C50)</f>
        <v>Secure AI/ML Development Lifecycle Coverage.</v>
      </c>
      <c r="H40" s="251" t="str">
        <f>IF('9. List &amp; Calc'!D50="", "", '9. List &amp; Calc'!D50)</f>
        <v>Percent of AI/ML projects that completed threat modeling, data protection review, and adversarial testing.</v>
      </c>
    </row>
    <row r="41" spans="2:8" ht="45" customHeight="1" x14ac:dyDescent="0.2">
      <c r="G41" s="252" t="str">
        <f>IF('9. List &amp; Calc'!C51="", "", '9. List &amp; Calc'!C51)</f>
        <v>Incident Response Drill Frequency &amp; Readiness Score</v>
      </c>
      <c r="H41" s="252" t="str">
        <f>IF('9. List &amp; Calc'!D51="", "", '9. List &amp; Calc'!D51)</f>
        <v>Number of tabletop or red team exercises run annually; scoring based on containment, comms, and recovery effectiveness.</v>
      </c>
    </row>
    <row r="42" spans="2:8" ht="45" customHeight="1" x14ac:dyDescent="0.2">
      <c r="G42" s="31" t="str">
        <f>IF('9. List &amp; Calc'!C52="", "", '9. List &amp; Calc'!C52)</f>
        <v>Application Uptime With Security Events</v>
      </c>
      <c r="H42" s="251" t="str">
        <f>IF('9. List &amp; Calc'!D52="", "", '9. List &amp; Calc'!D52)</f>
        <v>Percent of time core revenue-generating applications maintained availability despite security alerts/incidents.</v>
      </c>
    </row>
    <row r="43" spans="2:8" ht="45" customHeight="1" x14ac:dyDescent="0.2"/>
    <row r="44" spans="2:8" ht="45" customHeight="1" x14ac:dyDescent="0.2"/>
    <row r="45" spans="2:8" ht="45" customHeight="1" x14ac:dyDescent="0.2"/>
    <row r="46" spans="2:8" ht="45" customHeight="1" x14ac:dyDescent="0.2"/>
    <row r="47" spans="2:8" ht="45" customHeight="1" x14ac:dyDescent="0.2"/>
  </sheetData>
  <mergeCells count="8">
    <mergeCell ref="C29:D29"/>
    <mergeCell ref="C17:D17"/>
    <mergeCell ref="B4:H4"/>
    <mergeCell ref="C28:D28"/>
    <mergeCell ref="B2:H2"/>
    <mergeCell ref="C6:D6"/>
    <mergeCell ref="C7:D7"/>
    <mergeCell ref="C18:D18"/>
  </mergeCell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4">
        <x14:dataValidation type="list" allowBlank="1" showInputMessage="1" showErrorMessage="1" xr:uid="{4E7478BF-4B07-4346-A39E-9C0A6E1BC444}">
          <x14:formula1>
            <xm:f>'9. List &amp; Calc'!$C$27:$C$35</xm:f>
          </x14:formula1>
          <xm:sqref>C20:C22</xm:sqref>
        </x14:dataValidation>
        <x14:dataValidation type="list" allowBlank="1" showInputMessage="1" showErrorMessage="1" xr:uid="{5A2ECB75-E435-4573-B258-AEA6FAA71075}">
          <x14:formula1>
            <xm:f>'9. List &amp; Calc'!$B$15:$B$23</xm:f>
          </x14:formula1>
          <xm:sqref>D31 D9</xm:sqref>
        </x14:dataValidation>
        <x14:dataValidation type="list" allowBlank="1" showInputMessage="1" showErrorMessage="1" xr:uid="{DF718A7C-F3E3-4CCD-9ED6-A1EBB8F6AAC0}">
          <x14:formula1>
            <xm:f>'9. List &amp; Calc'!$C$15:$C$23</xm:f>
          </x14:formula1>
          <xm:sqref>C9:C11</xm:sqref>
        </x14:dataValidation>
        <x14:dataValidation type="list" allowBlank="1" showInputMessage="1" showErrorMessage="1" xr:uid="{BFF0D182-15DB-453A-BE4D-73DB677495A9}">
          <x14:formula1>
            <xm:f>'9. List &amp; Calc'!$C$38:$C$52</xm:f>
          </x14:formula1>
          <xm:sqref>C31:C34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307BA-F113-4A45-8FF0-EFBD7652880F}">
  <dimension ref="B2:R43"/>
  <sheetViews>
    <sheetView showGridLines="0" topLeftCell="J1" zoomScale="90" zoomScaleNormal="90" workbookViewId="0">
      <selection activeCell="K14" sqref="K14"/>
    </sheetView>
  </sheetViews>
  <sheetFormatPr defaultRowHeight="14.25" outlineLevelRow="1" outlineLevelCol="1" x14ac:dyDescent="0.2"/>
  <cols>
    <col min="1" max="1" width="2.375" customWidth="1"/>
    <col min="2" max="2" width="17" customWidth="1"/>
    <col min="3" max="3" width="16.75" customWidth="1"/>
    <col min="4" max="4" width="41" customWidth="1"/>
    <col min="5" max="5" width="42.875" customWidth="1"/>
    <col min="6" max="10" width="25.625" customWidth="1" outlineLevel="1"/>
    <col min="11" max="12" width="26.5" customWidth="1"/>
    <col min="13" max="13" width="29.375" customWidth="1"/>
    <col min="14" max="14" width="30.375" customWidth="1"/>
    <col min="15" max="15" width="23.375" customWidth="1"/>
    <col min="16" max="16" width="28.375" customWidth="1"/>
    <col min="17" max="17" width="53" customWidth="1"/>
    <col min="18" max="18" width="12.5" customWidth="1"/>
  </cols>
  <sheetData>
    <row r="2" spans="2:18" ht="28.5" customHeight="1" x14ac:dyDescent="0.2">
      <c r="B2" s="370" t="s">
        <v>58</v>
      </c>
      <c r="C2" s="371"/>
      <c r="D2" s="371"/>
      <c r="E2" s="371"/>
      <c r="F2" s="371"/>
      <c r="G2" s="371"/>
      <c r="H2" s="371"/>
      <c r="I2" s="370"/>
      <c r="J2" s="371"/>
      <c r="K2" s="371"/>
      <c r="L2" s="371"/>
      <c r="M2" s="371"/>
      <c r="N2" s="13"/>
      <c r="O2" s="13"/>
    </row>
    <row r="3" spans="2:18" ht="9.75" customHeight="1" x14ac:dyDescent="0.2"/>
    <row r="4" spans="2:18" ht="97.5" customHeight="1" outlineLevel="1" thickBot="1" x14ac:dyDescent="0.25">
      <c r="B4" s="401" t="s">
        <v>64</v>
      </c>
      <c r="C4" s="401"/>
      <c r="D4" s="401"/>
      <c r="E4" s="401"/>
      <c r="F4" s="3"/>
      <c r="G4" s="5"/>
      <c r="H4" s="5"/>
      <c r="I4" s="3"/>
    </row>
    <row r="5" spans="2:18" ht="16.5" customHeight="1" outlineLevel="1" thickBot="1" x14ac:dyDescent="0.25">
      <c r="C5" s="264" t="s">
        <v>65</v>
      </c>
      <c r="D5" s="264" t="s">
        <v>43</v>
      </c>
      <c r="E5" s="264"/>
      <c r="F5" s="3"/>
      <c r="G5" s="5" t="s">
        <v>66</v>
      </c>
      <c r="H5" s="5"/>
      <c r="I5" s="3"/>
    </row>
    <row r="6" spans="2:18" ht="30" customHeight="1" outlineLevel="1" x14ac:dyDescent="0.2">
      <c r="C6" s="267" t="s">
        <v>67</v>
      </c>
      <c r="D6" s="411" t="s">
        <v>68</v>
      </c>
      <c r="E6" s="411"/>
      <c r="G6" s="414" t="s">
        <v>69</v>
      </c>
      <c r="H6" s="414"/>
      <c r="Q6" s="9"/>
    </row>
    <row r="7" spans="2:18" ht="30" customHeight="1" outlineLevel="1" x14ac:dyDescent="0.2">
      <c r="C7" s="259" t="s">
        <v>70</v>
      </c>
      <c r="D7" s="401" t="s">
        <v>71</v>
      </c>
      <c r="E7" s="401"/>
      <c r="F7" s="4"/>
      <c r="G7" s="415" t="s">
        <v>72</v>
      </c>
      <c r="H7" s="415"/>
      <c r="I7" s="4"/>
      <c r="Q7" s="9"/>
    </row>
    <row r="8" spans="2:18" ht="30" customHeight="1" outlineLevel="1" x14ac:dyDescent="0.2">
      <c r="C8" s="268" t="s">
        <v>73</v>
      </c>
      <c r="D8" s="412" t="s">
        <v>74</v>
      </c>
      <c r="E8" s="412"/>
      <c r="F8" s="4"/>
      <c r="G8" s="416" t="s">
        <v>75</v>
      </c>
      <c r="H8" s="416"/>
      <c r="I8" s="4"/>
      <c r="Q8" s="9"/>
      <c r="R8" s="400"/>
    </row>
    <row r="9" spans="2:18" ht="30" customHeight="1" outlineLevel="1" x14ac:dyDescent="0.2">
      <c r="C9" s="259" t="s">
        <v>59</v>
      </c>
      <c r="D9" s="401" t="s">
        <v>76</v>
      </c>
      <c r="E9" s="401"/>
      <c r="F9" s="4"/>
      <c r="I9" s="4"/>
      <c r="Q9" s="9"/>
      <c r="R9" s="400"/>
    </row>
    <row r="10" spans="2:18" ht="30" customHeight="1" outlineLevel="1" thickBot="1" x14ac:dyDescent="0.25">
      <c r="C10" s="269" t="s">
        <v>77</v>
      </c>
      <c r="D10" s="413" t="s">
        <v>78</v>
      </c>
      <c r="E10" s="413"/>
      <c r="F10" s="4"/>
      <c r="I10" s="4"/>
      <c r="Q10" s="9"/>
    </row>
    <row r="11" spans="2:18" ht="15" thickBot="1" x14ac:dyDescent="0.25"/>
    <row r="12" spans="2:18" s="259" customFormat="1" ht="30" customHeight="1" x14ac:dyDescent="0.2">
      <c r="B12" s="257" t="s">
        <v>60</v>
      </c>
      <c r="C12" s="258"/>
      <c r="D12" s="258"/>
      <c r="E12" s="258"/>
      <c r="F12" s="408" t="s">
        <v>79</v>
      </c>
      <c r="G12" s="409"/>
      <c r="H12" s="409"/>
      <c r="I12" s="409"/>
      <c r="J12" s="410"/>
      <c r="K12" s="258"/>
      <c r="L12" s="258"/>
      <c r="M12" s="258"/>
      <c r="N12" s="258"/>
      <c r="O12" s="258"/>
      <c r="P12" s="258"/>
    </row>
    <row r="13" spans="2:18" s="259" customFormat="1" ht="30" customHeight="1" thickBot="1" x14ac:dyDescent="0.25">
      <c r="B13" s="6" t="s">
        <v>80</v>
      </c>
      <c r="C13" s="6" t="s">
        <v>81</v>
      </c>
      <c r="D13" s="6" t="s">
        <v>61</v>
      </c>
      <c r="E13" s="7" t="s">
        <v>43</v>
      </c>
      <c r="F13" s="7" t="s">
        <v>82</v>
      </c>
      <c r="G13" s="7" t="s">
        <v>83</v>
      </c>
      <c r="H13" s="80" t="s">
        <v>84</v>
      </c>
      <c r="I13" s="80" t="s">
        <v>85</v>
      </c>
      <c r="J13" s="80" t="s">
        <v>86</v>
      </c>
      <c r="K13" s="80" t="s">
        <v>62</v>
      </c>
      <c r="L13" s="107" t="s">
        <v>87</v>
      </c>
      <c r="M13" s="108" t="s">
        <v>63</v>
      </c>
      <c r="N13" s="108" t="s">
        <v>88</v>
      </c>
      <c r="O13" s="108" t="s">
        <v>89</v>
      </c>
      <c r="P13" s="8" t="s">
        <v>90</v>
      </c>
    </row>
    <row r="14" spans="2:18" ht="50.1" customHeight="1" x14ac:dyDescent="0.2">
      <c r="B14" s="405" t="s">
        <v>91</v>
      </c>
      <c r="C14" s="82" t="s">
        <v>92</v>
      </c>
      <c r="D14" s="158" t="s">
        <v>93</v>
      </c>
      <c r="E14" s="33" t="s">
        <v>94</v>
      </c>
      <c r="F14" s="89" t="s">
        <v>95</v>
      </c>
      <c r="G14" s="94" t="s">
        <v>96</v>
      </c>
      <c r="H14" s="94" t="s">
        <v>97</v>
      </c>
      <c r="I14" s="95" t="s">
        <v>98</v>
      </c>
      <c r="J14" s="94" t="s">
        <v>99</v>
      </c>
      <c r="K14" s="109" t="s">
        <v>83</v>
      </c>
      <c r="L14" s="109"/>
      <c r="M14" s="109" t="s">
        <v>84</v>
      </c>
      <c r="N14" s="109" t="s">
        <v>100</v>
      </c>
      <c r="O14" s="120" t="s">
        <v>101</v>
      </c>
      <c r="P14" s="120" t="s">
        <v>102</v>
      </c>
    </row>
    <row r="15" spans="2:18" ht="50.1" customHeight="1" x14ac:dyDescent="0.2">
      <c r="B15" s="406"/>
      <c r="C15" s="83" t="s">
        <v>103</v>
      </c>
      <c r="D15" s="159" t="s">
        <v>104</v>
      </c>
      <c r="E15" s="88" t="s">
        <v>105</v>
      </c>
      <c r="F15" s="90" t="s">
        <v>106</v>
      </c>
      <c r="G15" s="93" t="s">
        <v>107</v>
      </c>
      <c r="H15" s="93" t="s">
        <v>108</v>
      </c>
      <c r="I15" s="85" t="s">
        <v>109</v>
      </c>
      <c r="J15" s="93" t="s">
        <v>110</v>
      </c>
      <c r="K15" s="113" t="s">
        <v>84</v>
      </c>
      <c r="L15" s="113"/>
      <c r="M15" s="113" t="s">
        <v>85</v>
      </c>
      <c r="N15" s="113" t="s">
        <v>111</v>
      </c>
      <c r="O15" s="114" t="s">
        <v>112</v>
      </c>
      <c r="P15" s="114" t="s">
        <v>113</v>
      </c>
    </row>
    <row r="16" spans="2:18" ht="50.1" customHeight="1" x14ac:dyDescent="0.2">
      <c r="B16" s="406"/>
      <c r="C16" s="84" t="s">
        <v>114</v>
      </c>
      <c r="D16" s="158" t="s">
        <v>115</v>
      </c>
      <c r="E16" s="94" t="s">
        <v>116</v>
      </c>
      <c r="F16" s="91" t="s">
        <v>117</v>
      </c>
      <c r="G16" s="94" t="s">
        <v>118</v>
      </c>
      <c r="H16" s="99" t="s">
        <v>119</v>
      </c>
      <c r="I16" s="96" t="s">
        <v>120</v>
      </c>
      <c r="J16" s="94" t="s">
        <v>121</v>
      </c>
      <c r="K16" s="112" t="s">
        <v>82</v>
      </c>
      <c r="L16" s="112"/>
      <c r="M16" s="112" t="s">
        <v>82</v>
      </c>
      <c r="N16" s="112" t="s">
        <v>123</v>
      </c>
      <c r="O16" s="115" t="s">
        <v>124</v>
      </c>
      <c r="P16" s="115" t="s">
        <v>125</v>
      </c>
    </row>
    <row r="17" spans="2:17" ht="50.1" customHeight="1" x14ac:dyDescent="0.2">
      <c r="B17" s="406"/>
      <c r="C17" s="79" t="s">
        <v>126</v>
      </c>
      <c r="D17" s="159" t="s">
        <v>127</v>
      </c>
      <c r="E17" s="93" t="s">
        <v>128</v>
      </c>
      <c r="F17" s="90" t="s">
        <v>129</v>
      </c>
      <c r="G17" s="93" t="s">
        <v>130</v>
      </c>
      <c r="H17" s="100" t="s">
        <v>131</v>
      </c>
      <c r="I17" s="97" t="s">
        <v>132</v>
      </c>
      <c r="J17" s="93" t="s">
        <v>133</v>
      </c>
      <c r="K17" s="117" t="s">
        <v>83</v>
      </c>
      <c r="L17" s="117"/>
      <c r="M17" s="117" t="s">
        <v>84</v>
      </c>
      <c r="N17" s="117" t="s">
        <v>123</v>
      </c>
      <c r="O17" s="116" t="s">
        <v>134</v>
      </c>
      <c r="P17" s="116" t="s">
        <v>135</v>
      </c>
    </row>
    <row r="18" spans="2:17" ht="50.1" customHeight="1" x14ac:dyDescent="0.2">
      <c r="B18" s="406"/>
      <c r="C18" s="84" t="s">
        <v>136</v>
      </c>
      <c r="D18" s="158" t="s">
        <v>137</v>
      </c>
      <c r="E18" s="94" t="s">
        <v>138</v>
      </c>
      <c r="F18" s="81" t="s">
        <v>139</v>
      </c>
      <c r="G18" s="94" t="s">
        <v>140</v>
      </c>
      <c r="H18" s="94" t="s">
        <v>141</v>
      </c>
      <c r="I18" s="33" t="s">
        <v>142</v>
      </c>
      <c r="J18" s="94" t="s">
        <v>143</v>
      </c>
      <c r="K18" s="112" t="s">
        <v>83</v>
      </c>
      <c r="L18" s="112"/>
      <c r="M18" s="112" t="s">
        <v>84</v>
      </c>
      <c r="N18" s="112" t="s">
        <v>123</v>
      </c>
      <c r="O18" s="115" t="s">
        <v>144</v>
      </c>
      <c r="P18" s="115" t="s">
        <v>145</v>
      </c>
      <c r="Q18" s="121"/>
    </row>
    <row r="19" spans="2:17" ht="50.1" customHeight="1" x14ac:dyDescent="0.2">
      <c r="B19" s="406"/>
      <c r="C19" s="79" t="s">
        <v>146</v>
      </c>
      <c r="D19" s="159" t="s">
        <v>147</v>
      </c>
      <c r="E19" s="28" t="s">
        <v>148</v>
      </c>
      <c r="F19" s="92" t="s">
        <v>149</v>
      </c>
      <c r="G19" s="93" t="s">
        <v>150</v>
      </c>
      <c r="H19" s="101" t="s">
        <v>151</v>
      </c>
      <c r="I19" s="97" t="s">
        <v>152</v>
      </c>
      <c r="J19" s="93" t="s">
        <v>153</v>
      </c>
      <c r="K19" s="117" t="s">
        <v>82</v>
      </c>
      <c r="L19" s="117"/>
      <c r="M19" s="117" t="s">
        <v>85</v>
      </c>
      <c r="N19" s="117" t="s">
        <v>154</v>
      </c>
      <c r="O19" s="118" t="s">
        <v>155</v>
      </c>
      <c r="P19" s="118" t="s">
        <v>156</v>
      </c>
      <c r="Q19" s="121"/>
    </row>
    <row r="20" spans="2:17" ht="50.1" customHeight="1" thickBot="1" x14ac:dyDescent="0.25">
      <c r="B20" s="407"/>
      <c r="C20" s="87" t="s">
        <v>157</v>
      </c>
      <c r="D20" s="162" t="s">
        <v>158</v>
      </c>
      <c r="E20" s="138" t="s">
        <v>159</v>
      </c>
      <c r="F20" s="104" t="s">
        <v>160</v>
      </c>
      <c r="G20" s="94" t="s">
        <v>161</v>
      </c>
      <c r="H20" s="138" t="s">
        <v>162</v>
      </c>
      <c r="I20" s="98" t="s">
        <v>163</v>
      </c>
      <c r="J20" s="138" t="s">
        <v>164</v>
      </c>
      <c r="K20" s="122" t="s">
        <v>83</v>
      </c>
      <c r="L20" s="110"/>
      <c r="M20" s="110" t="s">
        <v>83</v>
      </c>
      <c r="N20" s="110" t="s">
        <v>165</v>
      </c>
      <c r="O20" s="119" t="s">
        <v>166</v>
      </c>
      <c r="P20" s="119" t="s">
        <v>167</v>
      </c>
      <c r="Q20" s="121"/>
    </row>
    <row r="21" spans="2:17" ht="50.1" customHeight="1" x14ac:dyDescent="0.2">
      <c r="B21" s="402" t="s">
        <v>168</v>
      </c>
      <c r="C21" s="83" t="s">
        <v>169</v>
      </c>
      <c r="D21" s="163" t="s">
        <v>170</v>
      </c>
      <c r="E21" s="93" t="s">
        <v>171</v>
      </c>
      <c r="F21" s="124" t="s">
        <v>172</v>
      </c>
      <c r="G21" s="126" t="s">
        <v>173</v>
      </c>
      <c r="H21" s="28" t="s">
        <v>174</v>
      </c>
      <c r="I21" s="124" t="s">
        <v>175</v>
      </c>
      <c r="J21" s="124" t="s">
        <v>176</v>
      </c>
      <c r="K21" s="109" t="s">
        <v>83</v>
      </c>
      <c r="L21" s="109"/>
      <c r="M21" s="109" t="s">
        <v>85</v>
      </c>
      <c r="N21" s="109" t="s">
        <v>177</v>
      </c>
      <c r="O21" s="133" t="s">
        <v>178</v>
      </c>
      <c r="P21" s="133" t="s">
        <v>179</v>
      </c>
    </row>
    <row r="22" spans="2:17" ht="50.1" customHeight="1" x14ac:dyDescent="0.2">
      <c r="B22" s="403"/>
      <c r="C22" s="84" t="s">
        <v>180</v>
      </c>
      <c r="D22" s="158" t="s">
        <v>181</v>
      </c>
      <c r="E22" s="94" t="s">
        <v>182</v>
      </c>
      <c r="F22" s="94" t="s">
        <v>183</v>
      </c>
      <c r="G22" s="99" t="s">
        <v>184</v>
      </c>
      <c r="H22" s="94" t="s">
        <v>185</v>
      </c>
      <c r="I22" s="86" t="s">
        <v>186</v>
      </c>
      <c r="J22" s="94" t="s">
        <v>187</v>
      </c>
      <c r="K22" s="113" t="s">
        <v>83</v>
      </c>
      <c r="L22" s="113"/>
      <c r="M22" s="113" t="s">
        <v>85</v>
      </c>
      <c r="N22" s="113" t="s">
        <v>188</v>
      </c>
      <c r="O22" s="131" t="s">
        <v>189</v>
      </c>
      <c r="P22" s="131" t="s">
        <v>190</v>
      </c>
    </row>
    <row r="23" spans="2:17" ht="50.1" customHeight="1" x14ac:dyDescent="0.2">
      <c r="B23" s="403"/>
      <c r="C23" s="83" t="s">
        <v>191</v>
      </c>
      <c r="D23" s="159" t="s">
        <v>192</v>
      </c>
      <c r="E23" s="101" t="s">
        <v>193</v>
      </c>
      <c r="F23" s="129" t="s">
        <v>194</v>
      </c>
      <c r="G23" s="100" t="s">
        <v>195</v>
      </c>
      <c r="H23" s="92" t="s">
        <v>196</v>
      </c>
      <c r="I23" s="92" t="s">
        <v>197</v>
      </c>
      <c r="J23" s="92" t="s">
        <v>198</v>
      </c>
      <c r="K23" s="112" t="s">
        <v>82</v>
      </c>
      <c r="L23" s="112"/>
      <c r="M23" s="112" t="s">
        <v>82</v>
      </c>
      <c r="N23" s="112" t="s">
        <v>199</v>
      </c>
      <c r="O23" s="130" t="s">
        <v>200</v>
      </c>
      <c r="P23" s="130" t="s">
        <v>201</v>
      </c>
    </row>
    <row r="24" spans="2:17" ht="50.1" customHeight="1" x14ac:dyDescent="0.2">
      <c r="B24" s="403"/>
      <c r="C24" s="84" t="s">
        <v>202</v>
      </c>
      <c r="D24" s="160" t="s">
        <v>203</v>
      </c>
      <c r="E24" s="102" t="s">
        <v>204</v>
      </c>
      <c r="F24" s="99" t="s">
        <v>205</v>
      </c>
      <c r="G24" s="105" t="s">
        <v>206</v>
      </c>
      <c r="H24" s="94" t="s">
        <v>207</v>
      </c>
      <c r="I24" s="94" t="s">
        <v>208</v>
      </c>
      <c r="J24" s="94" t="s">
        <v>209</v>
      </c>
      <c r="K24" s="117" t="s">
        <v>83</v>
      </c>
      <c r="L24" s="117"/>
      <c r="M24" s="117" t="s">
        <v>84</v>
      </c>
      <c r="N24" s="117" t="s">
        <v>210</v>
      </c>
      <c r="O24" s="115" t="s">
        <v>211</v>
      </c>
      <c r="P24" s="115" t="s">
        <v>212</v>
      </c>
    </row>
    <row r="25" spans="2:17" ht="50.1" customHeight="1" x14ac:dyDescent="0.2">
      <c r="B25" s="403"/>
      <c r="C25" s="83" t="s">
        <v>213</v>
      </c>
      <c r="D25" s="161" t="s">
        <v>214</v>
      </c>
      <c r="E25" s="128" t="s">
        <v>215</v>
      </c>
      <c r="F25" s="100" t="s">
        <v>216</v>
      </c>
      <c r="G25" s="100" t="s">
        <v>217</v>
      </c>
      <c r="H25" s="90" t="s">
        <v>218</v>
      </c>
      <c r="I25" s="106" t="s">
        <v>219</v>
      </c>
      <c r="J25" s="78" t="s">
        <v>220</v>
      </c>
      <c r="K25" s="112" t="s">
        <v>82</v>
      </c>
      <c r="L25" s="112"/>
      <c r="M25" s="112" t="s">
        <v>84</v>
      </c>
      <c r="N25" s="112"/>
      <c r="O25" s="130" t="s">
        <v>221</v>
      </c>
      <c r="P25" s="130" t="s">
        <v>222</v>
      </c>
    </row>
    <row r="26" spans="2:17" ht="50.1" customHeight="1" thickBot="1" x14ac:dyDescent="0.25">
      <c r="B26" s="404"/>
      <c r="C26" s="156" t="s">
        <v>223</v>
      </c>
      <c r="D26" s="162" t="s">
        <v>224</v>
      </c>
      <c r="E26" s="125" t="s">
        <v>225</v>
      </c>
      <c r="F26" s="125" t="s">
        <v>226</v>
      </c>
      <c r="G26" s="127" t="s">
        <v>227</v>
      </c>
      <c r="H26" s="138" t="s">
        <v>228</v>
      </c>
      <c r="I26" s="138" t="s">
        <v>229</v>
      </c>
      <c r="J26" s="138" t="s">
        <v>230</v>
      </c>
      <c r="K26" s="190" t="s">
        <v>84</v>
      </c>
      <c r="L26" s="122"/>
      <c r="M26" s="122" t="s">
        <v>85</v>
      </c>
      <c r="N26" s="122" t="s">
        <v>210</v>
      </c>
      <c r="O26" s="132" t="s">
        <v>231</v>
      </c>
      <c r="P26" s="132" t="s">
        <v>232</v>
      </c>
    </row>
    <row r="27" spans="2:17" ht="50.1" customHeight="1" x14ac:dyDescent="0.2">
      <c r="B27" s="405" t="s">
        <v>233</v>
      </c>
      <c r="C27" s="155" t="s">
        <v>234</v>
      </c>
      <c r="D27" s="163" t="s">
        <v>235</v>
      </c>
      <c r="E27" s="124" t="s">
        <v>236</v>
      </c>
      <c r="F27" s="124" t="s">
        <v>237</v>
      </c>
      <c r="G27" s="124" t="s">
        <v>238</v>
      </c>
      <c r="H27" s="101" t="s">
        <v>239</v>
      </c>
      <c r="I27" s="128" t="s">
        <v>240</v>
      </c>
      <c r="J27" s="128" t="s">
        <v>241</v>
      </c>
      <c r="K27" s="111" t="s">
        <v>84</v>
      </c>
      <c r="L27" s="109"/>
      <c r="M27" s="109" t="s">
        <v>86</v>
      </c>
      <c r="N27" s="109" t="s">
        <v>188</v>
      </c>
      <c r="O27" s="133" t="s">
        <v>242</v>
      </c>
      <c r="P27" s="133" t="s">
        <v>243</v>
      </c>
    </row>
    <row r="28" spans="2:17" ht="50.1" customHeight="1" x14ac:dyDescent="0.2">
      <c r="B28" s="406"/>
      <c r="C28" s="139" t="s">
        <v>244</v>
      </c>
      <c r="D28" s="158" t="s">
        <v>245</v>
      </c>
      <c r="E28" s="94" t="s">
        <v>246</v>
      </c>
      <c r="F28" s="94" t="s">
        <v>247</v>
      </c>
      <c r="G28" s="86" t="s">
        <v>248</v>
      </c>
      <c r="H28" s="94" t="s">
        <v>249</v>
      </c>
      <c r="I28" s="86" t="s">
        <v>250</v>
      </c>
      <c r="J28" s="86" t="s">
        <v>251</v>
      </c>
      <c r="K28" s="113" t="s">
        <v>83</v>
      </c>
      <c r="L28" s="113"/>
      <c r="M28" s="113" t="s">
        <v>84</v>
      </c>
      <c r="N28" s="113" t="s">
        <v>252</v>
      </c>
      <c r="O28" s="135" t="s">
        <v>253</v>
      </c>
      <c r="P28" s="135" t="s">
        <v>254</v>
      </c>
    </row>
    <row r="29" spans="2:17" ht="50.1" customHeight="1" x14ac:dyDescent="0.2">
      <c r="B29" s="406"/>
      <c r="C29" s="83" t="s">
        <v>255</v>
      </c>
      <c r="D29" s="159" t="s">
        <v>256</v>
      </c>
      <c r="E29" s="101" t="s">
        <v>257</v>
      </c>
      <c r="F29" s="260" t="s">
        <v>258</v>
      </c>
      <c r="G29" s="103" t="s">
        <v>259</v>
      </c>
      <c r="H29" s="100" t="s">
        <v>260</v>
      </c>
      <c r="I29" s="103" t="s">
        <v>261</v>
      </c>
      <c r="J29" s="103" t="s">
        <v>262</v>
      </c>
      <c r="K29" s="112" t="s">
        <v>83</v>
      </c>
      <c r="L29" s="112"/>
      <c r="M29" s="112" t="s">
        <v>84</v>
      </c>
      <c r="N29" s="112" t="s">
        <v>252</v>
      </c>
      <c r="O29" s="136" t="s">
        <v>263</v>
      </c>
      <c r="P29" s="136" t="s">
        <v>264</v>
      </c>
    </row>
    <row r="30" spans="2:17" ht="50.1" customHeight="1" x14ac:dyDescent="0.2">
      <c r="B30" s="406"/>
      <c r="C30" s="139" t="s">
        <v>265</v>
      </c>
      <c r="D30" s="158" t="s">
        <v>266</v>
      </c>
      <c r="E30" s="94" t="s">
        <v>267</v>
      </c>
      <c r="F30" s="94" t="s">
        <v>268</v>
      </c>
      <c r="G30" s="86" t="s">
        <v>269</v>
      </c>
      <c r="H30" s="94" t="s">
        <v>270</v>
      </c>
      <c r="I30" s="86" t="s">
        <v>271</v>
      </c>
      <c r="J30" s="86" t="s">
        <v>272</v>
      </c>
      <c r="K30" s="117" t="s">
        <v>82</v>
      </c>
      <c r="L30" s="117"/>
      <c r="M30" s="117" t="s">
        <v>83</v>
      </c>
      <c r="N30" s="117" t="s">
        <v>100</v>
      </c>
      <c r="O30" s="135" t="s">
        <v>273</v>
      </c>
      <c r="P30" s="135" t="s">
        <v>274</v>
      </c>
    </row>
    <row r="31" spans="2:17" ht="50.1" customHeight="1" thickBot="1" x14ac:dyDescent="0.25">
      <c r="B31" s="407"/>
      <c r="C31" s="83" t="s">
        <v>275</v>
      </c>
      <c r="D31" s="164" t="s">
        <v>276</v>
      </c>
      <c r="E31" s="140" t="s">
        <v>277</v>
      </c>
      <c r="F31" s="140" t="s">
        <v>278</v>
      </c>
      <c r="G31" s="142" t="s">
        <v>279</v>
      </c>
      <c r="H31" s="140" t="s">
        <v>280</v>
      </c>
      <c r="I31" s="142" t="s">
        <v>281</v>
      </c>
      <c r="J31" s="143" t="s">
        <v>282</v>
      </c>
      <c r="K31" s="123" t="s">
        <v>122</v>
      </c>
      <c r="L31" s="122"/>
      <c r="M31" s="122" t="s">
        <v>82</v>
      </c>
      <c r="N31" s="122"/>
      <c r="O31" s="137" t="s">
        <v>283</v>
      </c>
      <c r="P31" s="137" t="s">
        <v>284</v>
      </c>
    </row>
    <row r="32" spans="2:17" ht="50.1" customHeight="1" x14ac:dyDescent="0.2">
      <c r="B32" s="405" t="s">
        <v>285</v>
      </c>
      <c r="C32" s="82" t="s">
        <v>286</v>
      </c>
      <c r="D32" s="165" t="s">
        <v>287</v>
      </c>
      <c r="E32" s="145" t="s">
        <v>288</v>
      </c>
      <c r="F32" s="145" t="s">
        <v>289</v>
      </c>
      <c r="G32" s="145" t="s">
        <v>290</v>
      </c>
      <c r="H32" s="144" t="s">
        <v>291</v>
      </c>
      <c r="I32" s="144" t="s">
        <v>292</v>
      </c>
      <c r="J32" s="94" t="s">
        <v>293</v>
      </c>
      <c r="K32" s="109" t="s">
        <v>85</v>
      </c>
      <c r="L32" s="109"/>
      <c r="M32" s="109" t="s">
        <v>86</v>
      </c>
      <c r="N32" s="109"/>
      <c r="O32" s="135" t="s">
        <v>294</v>
      </c>
      <c r="P32" s="135" t="s">
        <v>295</v>
      </c>
    </row>
    <row r="33" spans="2:16" ht="50.1" customHeight="1" x14ac:dyDescent="0.2">
      <c r="B33" s="403"/>
      <c r="C33" s="79" t="s">
        <v>296</v>
      </c>
      <c r="D33" s="166" t="s">
        <v>297</v>
      </c>
      <c r="E33" s="100" t="s">
        <v>298</v>
      </c>
      <c r="F33" s="100" t="s">
        <v>299</v>
      </c>
      <c r="G33" s="100" t="s">
        <v>300</v>
      </c>
      <c r="H33" s="100" t="s">
        <v>301</v>
      </c>
      <c r="I33" s="100" t="s">
        <v>302</v>
      </c>
      <c r="J33" s="28" t="s">
        <v>303</v>
      </c>
      <c r="K33" s="112" t="s">
        <v>82</v>
      </c>
      <c r="L33" s="112"/>
      <c r="M33" s="112" t="s">
        <v>84</v>
      </c>
      <c r="N33" s="112" t="s">
        <v>304</v>
      </c>
      <c r="O33" s="130" t="s">
        <v>305</v>
      </c>
      <c r="P33" s="130" t="s">
        <v>306</v>
      </c>
    </row>
    <row r="34" spans="2:16" ht="50.1" customHeight="1" x14ac:dyDescent="0.2">
      <c r="B34" s="406"/>
      <c r="C34" s="84" t="s">
        <v>307</v>
      </c>
      <c r="D34" s="158" t="s">
        <v>308</v>
      </c>
      <c r="E34" s="94" t="s">
        <v>309</v>
      </c>
      <c r="F34" s="94" t="s">
        <v>310</v>
      </c>
      <c r="G34" s="94" t="s">
        <v>311</v>
      </c>
      <c r="H34" s="105" t="s">
        <v>312</v>
      </c>
      <c r="I34" s="102" t="s">
        <v>313</v>
      </c>
      <c r="J34" s="94" t="s">
        <v>314</v>
      </c>
      <c r="K34" s="117" t="s">
        <v>83</v>
      </c>
      <c r="L34" s="117"/>
      <c r="M34" s="117" t="s">
        <v>85</v>
      </c>
      <c r="N34" s="117" t="s">
        <v>315</v>
      </c>
      <c r="O34" s="115" t="s">
        <v>316</v>
      </c>
      <c r="P34" s="115" t="s">
        <v>317</v>
      </c>
    </row>
    <row r="35" spans="2:16" ht="50.1" customHeight="1" x14ac:dyDescent="0.2">
      <c r="B35" s="403"/>
      <c r="C35" s="79" t="s">
        <v>318</v>
      </c>
      <c r="D35" s="166" t="s">
        <v>319</v>
      </c>
      <c r="E35" s="100" t="s">
        <v>320</v>
      </c>
      <c r="F35" s="100" t="s">
        <v>321</v>
      </c>
      <c r="G35" s="100" t="s">
        <v>322</v>
      </c>
      <c r="H35" s="100" t="s">
        <v>323</v>
      </c>
      <c r="I35" s="100" t="s">
        <v>324</v>
      </c>
      <c r="J35" s="28" t="s">
        <v>325</v>
      </c>
      <c r="K35" s="112" t="s">
        <v>82</v>
      </c>
      <c r="L35" s="112"/>
      <c r="M35" s="112" t="s">
        <v>82</v>
      </c>
      <c r="N35" s="112" t="s">
        <v>210</v>
      </c>
      <c r="O35" s="130" t="s">
        <v>326</v>
      </c>
      <c r="P35" s="130" t="s">
        <v>327</v>
      </c>
    </row>
    <row r="36" spans="2:16" ht="50.1" customHeight="1" thickBot="1" x14ac:dyDescent="0.25">
      <c r="B36" s="407"/>
      <c r="C36" s="156" t="s">
        <v>328</v>
      </c>
      <c r="D36" s="162" t="s">
        <v>329</v>
      </c>
      <c r="E36" s="125" t="s">
        <v>330</v>
      </c>
      <c r="F36" s="125" t="s">
        <v>331</v>
      </c>
      <c r="G36" s="127" t="s">
        <v>332</v>
      </c>
      <c r="H36" s="138" t="s">
        <v>333</v>
      </c>
      <c r="I36" s="138" t="s">
        <v>334</v>
      </c>
      <c r="J36" s="138" t="s">
        <v>335</v>
      </c>
      <c r="K36" s="123" t="s">
        <v>86</v>
      </c>
      <c r="L36" s="122"/>
      <c r="M36" s="122" t="s">
        <v>86</v>
      </c>
      <c r="N36" s="122" t="s">
        <v>315</v>
      </c>
      <c r="O36" s="132" t="s">
        <v>336</v>
      </c>
      <c r="P36" s="132" t="s">
        <v>337</v>
      </c>
    </row>
    <row r="37" spans="2:16" ht="50.1" customHeight="1" x14ac:dyDescent="0.2">
      <c r="B37" s="402" t="s">
        <v>338</v>
      </c>
      <c r="C37" s="155" t="s">
        <v>339</v>
      </c>
      <c r="D37" s="163" t="s">
        <v>340</v>
      </c>
      <c r="E37" s="124" t="s">
        <v>341</v>
      </c>
      <c r="F37" s="124" t="s">
        <v>342</v>
      </c>
      <c r="G37" s="124" t="s">
        <v>343</v>
      </c>
      <c r="H37" s="101" t="s">
        <v>344</v>
      </c>
      <c r="I37" s="128" t="s">
        <v>345</v>
      </c>
      <c r="J37" s="128" t="s">
        <v>346</v>
      </c>
      <c r="K37" s="109" t="s">
        <v>85</v>
      </c>
      <c r="L37" s="109"/>
      <c r="M37" s="109" t="s">
        <v>86</v>
      </c>
      <c r="N37" s="109" t="s">
        <v>347</v>
      </c>
      <c r="O37" s="133" t="s">
        <v>348</v>
      </c>
      <c r="P37" s="133" t="s">
        <v>349</v>
      </c>
    </row>
    <row r="38" spans="2:16" ht="50.1" customHeight="1" x14ac:dyDescent="0.2">
      <c r="B38" s="403"/>
      <c r="C38" s="84" t="s">
        <v>350</v>
      </c>
      <c r="D38" s="160" t="s">
        <v>351</v>
      </c>
      <c r="E38" s="94" t="s">
        <v>352</v>
      </c>
      <c r="F38" s="94" t="s">
        <v>353</v>
      </c>
      <c r="G38" s="147" t="s">
        <v>354</v>
      </c>
      <c r="H38" s="94" t="s">
        <v>355</v>
      </c>
      <c r="I38" s="105" t="s">
        <v>356</v>
      </c>
      <c r="J38" s="94" t="s">
        <v>357</v>
      </c>
      <c r="K38" s="113" t="s">
        <v>84</v>
      </c>
      <c r="L38" s="113"/>
      <c r="M38" s="113" t="s">
        <v>85</v>
      </c>
      <c r="N38" s="113" t="s">
        <v>347</v>
      </c>
      <c r="O38" s="115" t="s">
        <v>358</v>
      </c>
      <c r="P38" s="115" t="s">
        <v>359</v>
      </c>
    </row>
    <row r="39" spans="2:16" ht="50.1" customHeight="1" x14ac:dyDescent="0.2">
      <c r="B39" s="403"/>
      <c r="C39" s="83" t="s">
        <v>360</v>
      </c>
      <c r="D39" s="166" t="s">
        <v>361</v>
      </c>
      <c r="E39" s="100" t="s">
        <v>362</v>
      </c>
      <c r="F39" s="100" t="s">
        <v>363</v>
      </c>
      <c r="G39" s="146" t="s">
        <v>364</v>
      </c>
      <c r="H39" s="100" t="s">
        <v>365</v>
      </c>
      <c r="I39" s="100" t="s">
        <v>366</v>
      </c>
      <c r="J39" s="100" t="s">
        <v>367</v>
      </c>
      <c r="K39" s="112" t="s">
        <v>83</v>
      </c>
      <c r="L39" s="112"/>
      <c r="M39" s="112" t="s">
        <v>85</v>
      </c>
      <c r="N39" s="112" t="s">
        <v>368</v>
      </c>
      <c r="O39" s="136" t="s">
        <v>369</v>
      </c>
      <c r="P39" s="136" t="s">
        <v>370</v>
      </c>
    </row>
    <row r="40" spans="2:16" ht="50.1" customHeight="1" x14ac:dyDescent="0.2">
      <c r="B40" s="403"/>
      <c r="C40" s="84" t="s">
        <v>371</v>
      </c>
      <c r="D40" s="160" t="s">
        <v>372</v>
      </c>
      <c r="E40" s="94" t="s">
        <v>373</v>
      </c>
      <c r="F40" s="94" t="s">
        <v>374</v>
      </c>
      <c r="G40" s="147" t="s">
        <v>375</v>
      </c>
      <c r="H40" s="94" t="s">
        <v>376</v>
      </c>
      <c r="I40" s="94" t="s">
        <v>377</v>
      </c>
      <c r="J40" s="33" t="s">
        <v>378</v>
      </c>
      <c r="K40" s="263" t="s">
        <v>82</v>
      </c>
      <c r="L40" s="263"/>
      <c r="M40" s="263" t="s">
        <v>83</v>
      </c>
      <c r="N40" s="263" t="s">
        <v>347</v>
      </c>
      <c r="O40" s="135" t="s">
        <v>379</v>
      </c>
      <c r="P40" s="135" t="s">
        <v>380</v>
      </c>
    </row>
    <row r="41" spans="2:16" ht="50.1" customHeight="1" x14ac:dyDescent="0.2">
      <c r="B41" s="403"/>
      <c r="C41" s="83" t="s">
        <v>381</v>
      </c>
      <c r="D41" s="166" t="s">
        <v>382</v>
      </c>
      <c r="E41" s="100" t="s">
        <v>383</v>
      </c>
      <c r="F41" s="100" t="s">
        <v>384</v>
      </c>
      <c r="G41" s="146" t="s">
        <v>385</v>
      </c>
      <c r="H41" s="100" t="s">
        <v>386</v>
      </c>
      <c r="I41" s="100" t="s">
        <v>387</v>
      </c>
      <c r="J41" s="100" t="s">
        <v>388</v>
      </c>
      <c r="K41" s="117" t="s">
        <v>83</v>
      </c>
      <c r="L41" s="117"/>
      <c r="M41" s="117" t="s">
        <v>84</v>
      </c>
      <c r="N41" s="117" t="s">
        <v>368</v>
      </c>
      <c r="O41" s="136" t="s">
        <v>389</v>
      </c>
      <c r="P41" s="136" t="s">
        <v>390</v>
      </c>
    </row>
    <row r="42" spans="2:16" ht="50.1" customHeight="1" x14ac:dyDescent="0.2">
      <c r="B42" s="403"/>
      <c r="C42" s="84" t="s">
        <v>391</v>
      </c>
      <c r="D42" s="160" t="s">
        <v>392</v>
      </c>
      <c r="E42" s="94" t="s">
        <v>393</v>
      </c>
      <c r="F42" s="94" t="s">
        <v>394</v>
      </c>
      <c r="G42" s="147" t="s">
        <v>395</v>
      </c>
      <c r="H42" s="94" t="s">
        <v>396</v>
      </c>
      <c r="I42" s="105" t="s">
        <v>397</v>
      </c>
      <c r="J42" s="94" t="s">
        <v>398</v>
      </c>
      <c r="K42" s="112" t="s">
        <v>86</v>
      </c>
      <c r="L42" s="112"/>
      <c r="M42" s="112" t="s">
        <v>86</v>
      </c>
      <c r="N42" s="112" t="s">
        <v>399</v>
      </c>
      <c r="O42" s="135" t="s">
        <v>400</v>
      </c>
      <c r="P42" s="135" t="s">
        <v>401</v>
      </c>
    </row>
    <row r="43" spans="2:16" ht="50.1" customHeight="1" thickBot="1" x14ac:dyDescent="0.25">
      <c r="B43" s="404"/>
      <c r="C43" s="154" t="s">
        <v>402</v>
      </c>
      <c r="D43" s="164" t="s">
        <v>403</v>
      </c>
      <c r="E43" s="140" t="s">
        <v>404</v>
      </c>
      <c r="F43" s="140" t="s">
        <v>405</v>
      </c>
      <c r="G43" s="141" t="s">
        <v>406</v>
      </c>
      <c r="H43" s="157" t="s">
        <v>407</v>
      </c>
      <c r="I43" s="143" t="s">
        <v>408</v>
      </c>
      <c r="J43" s="143" t="s">
        <v>409</v>
      </c>
      <c r="K43" s="122" t="s">
        <v>83</v>
      </c>
      <c r="L43" s="122"/>
      <c r="M43" s="122" t="s">
        <v>84</v>
      </c>
      <c r="N43" s="122" t="s">
        <v>410</v>
      </c>
      <c r="O43" s="134" t="s">
        <v>411</v>
      </c>
      <c r="P43" s="134" t="s">
        <v>412</v>
      </c>
    </row>
  </sheetData>
  <mergeCells count="18">
    <mergeCell ref="B2:H2"/>
    <mergeCell ref="I2:M2"/>
    <mergeCell ref="F12:J12"/>
    <mergeCell ref="D6:E6"/>
    <mergeCell ref="D7:E7"/>
    <mergeCell ref="D8:E8"/>
    <mergeCell ref="D9:E9"/>
    <mergeCell ref="D10:E10"/>
    <mergeCell ref="G6:H6"/>
    <mergeCell ref="G7:H7"/>
    <mergeCell ref="G8:H8"/>
    <mergeCell ref="R8:R9"/>
    <mergeCell ref="B4:E4"/>
    <mergeCell ref="B37:B43"/>
    <mergeCell ref="B14:B20"/>
    <mergeCell ref="B21:B26"/>
    <mergeCell ref="B27:B31"/>
    <mergeCell ref="B32:B36"/>
  </mergeCells>
  <pageMargins left="0.7" right="0.7" top="0.75" bottom="0.75" header="0.3" footer="0.3"/>
  <pageSetup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expression" priority="1" id="{FAECBE6C-25FF-40E3-B8D1-AD3E8E0FDE21}">
            <xm:f>('9. List &amp; Calc'!G92&gt;2)</xm:f>
            <x14:dxf>
              <fill>
                <patternFill>
                  <bgColor rgb="FF00CC66"/>
                </patternFill>
              </fill>
            </x14:dxf>
          </x14:cfRule>
          <x14:cfRule type="expression" priority="2" id="{E4870B92-B4F0-4E7A-96D2-6746DAA0AC54}">
            <xm:f>('9. List &amp; Calc'!G92=1)</xm:f>
            <x14:dxf>
              <fill>
                <patternFill>
                  <bgColor rgb="FFCCFFCC"/>
                </patternFill>
              </fill>
            </x14:dxf>
          </x14:cfRule>
          <x14:cfRule type="expression" priority="3" id="{599B7AF4-01B0-4FC7-B9CB-7BC51969DEB8}">
            <xm:f>('9. List &amp; Calc'!G92=2)</xm:f>
            <x14:dxf>
              <fill>
                <patternFill>
                  <bgColor rgb="FF66FF99"/>
                </patternFill>
              </fill>
            </x14:dxf>
          </x14:cfRule>
          <xm:sqref>D14:D43</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F22427ED-3536-49BC-8165-049B3C00A0D2}">
          <x14:formula1>
            <xm:f>'9. List &amp; Calc'!$B$6:$B$11</xm:f>
          </x14:formula1>
          <xm:sqref>K14:K43 M14:M43</xm:sqref>
        </x14:dataValidation>
        <x14:dataValidation type="list" allowBlank="1" showInputMessage="1" showErrorMessage="1" xr:uid="{FCBF71AD-CAD0-40D2-ADC8-AB69998DBB9B}">
          <x14:formula1>
            <xm:f>'5. Initiative List'!$C$6:$C$45</xm:f>
          </x14:formula1>
          <xm:sqref>N14:N43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9DF72-6368-40AA-95B6-6D33350593D3}">
  <dimension ref="B1:E45"/>
  <sheetViews>
    <sheetView showGridLines="0" workbookViewId="0">
      <selection activeCell="D7" sqref="D7"/>
    </sheetView>
  </sheetViews>
  <sheetFormatPr defaultColWidth="9" defaultRowHeight="12.75" x14ac:dyDescent="0.2"/>
  <cols>
    <col min="1" max="1" width="2.75" style="1" customWidth="1"/>
    <col min="2" max="2" width="9" style="1"/>
    <col min="3" max="3" width="51.125" style="1" customWidth="1"/>
    <col min="4" max="4" width="87.625" style="1" customWidth="1"/>
    <col min="5" max="5" width="3.75" style="1" customWidth="1"/>
    <col min="6" max="16384" width="9" style="1"/>
  </cols>
  <sheetData>
    <row r="1" spans="2:5" ht="15" customHeight="1" x14ac:dyDescent="0.2"/>
    <row r="2" spans="2:5" ht="33.75" customHeight="1" x14ac:dyDescent="0.2">
      <c r="B2" s="417" t="s">
        <v>413</v>
      </c>
      <c r="C2" s="418"/>
      <c r="D2" s="418"/>
      <c r="E2" s="418"/>
    </row>
    <row r="3" spans="2:5" ht="121.5" customHeight="1" x14ac:dyDescent="0.2">
      <c r="B3" s="419" t="s">
        <v>414</v>
      </c>
      <c r="C3" s="419"/>
      <c r="D3" s="419"/>
      <c r="E3" s="419"/>
    </row>
    <row r="4" spans="2:5" ht="2.4500000000000002" customHeight="1" thickBot="1" x14ac:dyDescent="0.25"/>
    <row r="5" spans="2:5" ht="29.1" customHeight="1" thickBot="1" x14ac:dyDescent="0.25">
      <c r="B5" s="61" t="s">
        <v>415</v>
      </c>
      <c r="C5" s="60" t="s">
        <v>416</v>
      </c>
      <c r="D5" s="60" t="s">
        <v>417</v>
      </c>
    </row>
    <row r="6" spans="2:5" ht="39.950000000000003" customHeight="1" x14ac:dyDescent="0.2">
      <c r="B6" s="62">
        <v>1</v>
      </c>
      <c r="C6" s="63" t="s">
        <v>100</v>
      </c>
      <c r="D6" s="63"/>
    </row>
    <row r="7" spans="2:5" ht="39.950000000000003" customHeight="1" x14ac:dyDescent="0.2">
      <c r="B7" s="64">
        <v>2</v>
      </c>
      <c r="C7" s="65" t="s">
        <v>418</v>
      </c>
      <c r="D7" s="65"/>
    </row>
    <row r="8" spans="2:5" ht="39.950000000000003" customHeight="1" x14ac:dyDescent="0.2">
      <c r="B8" s="64">
        <v>3</v>
      </c>
      <c r="C8" s="65" t="s">
        <v>123</v>
      </c>
      <c r="D8" s="65"/>
    </row>
    <row r="9" spans="2:5" ht="39.950000000000003" customHeight="1" x14ac:dyDescent="0.2">
      <c r="B9" s="64">
        <v>4</v>
      </c>
      <c r="C9" s="65" t="s">
        <v>154</v>
      </c>
      <c r="D9" s="65"/>
    </row>
    <row r="10" spans="2:5" ht="39.950000000000003" customHeight="1" x14ac:dyDescent="0.2">
      <c r="B10" s="64">
        <v>5</v>
      </c>
      <c r="C10" s="65" t="s">
        <v>177</v>
      </c>
      <c r="D10" s="65"/>
    </row>
    <row r="11" spans="2:5" ht="39.950000000000003" customHeight="1" x14ac:dyDescent="0.2">
      <c r="B11" s="64">
        <v>6</v>
      </c>
      <c r="C11" s="65" t="s">
        <v>419</v>
      </c>
      <c r="D11" s="65"/>
    </row>
    <row r="12" spans="2:5" ht="39.950000000000003" customHeight="1" x14ac:dyDescent="0.2">
      <c r="B12" s="64">
        <v>7</v>
      </c>
      <c r="C12" s="65" t="s">
        <v>199</v>
      </c>
      <c r="D12" s="65"/>
    </row>
    <row r="13" spans="2:5" ht="39.950000000000003" customHeight="1" x14ac:dyDescent="0.2">
      <c r="B13" s="64">
        <v>8</v>
      </c>
      <c r="C13" s="65" t="s">
        <v>420</v>
      </c>
      <c r="D13" s="65"/>
    </row>
    <row r="14" spans="2:5" ht="39.950000000000003" customHeight="1" x14ac:dyDescent="0.2">
      <c r="B14" s="64">
        <v>9</v>
      </c>
      <c r="C14" s="65" t="s">
        <v>304</v>
      </c>
      <c r="D14" s="65"/>
    </row>
    <row r="15" spans="2:5" ht="39.950000000000003" customHeight="1" x14ac:dyDescent="0.2">
      <c r="B15" s="64">
        <v>10</v>
      </c>
      <c r="C15" s="65" t="s">
        <v>315</v>
      </c>
      <c r="D15" s="65"/>
    </row>
    <row r="16" spans="2:5" ht="39.950000000000003" customHeight="1" x14ac:dyDescent="0.2">
      <c r="B16" s="64">
        <v>11</v>
      </c>
      <c r="C16" s="65" t="s">
        <v>252</v>
      </c>
      <c r="D16" s="65"/>
    </row>
    <row r="17" spans="2:4" ht="39.950000000000003" customHeight="1" x14ac:dyDescent="0.2">
      <c r="B17" s="64">
        <v>12</v>
      </c>
      <c r="C17" s="65" t="s">
        <v>347</v>
      </c>
      <c r="D17" s="65"/>
    </row>
    <row r="18" spans="2:4" ht="39.950000000000003" customHeight="1" x14ac:dyDescent="0.2">
      <c r="B18" s="64">
        <v>13</v>
      </c>
      <c r="C18" s="65" t="s">
        <v>368</v>
      </c>
      <c r="D18" s="65"/>
    </row>
    <row r="19" spans="2:4" ht="39.950000000000003" customHeight="1" x14ac:dyDescent="0.2">
      <c r="B19" s="64">
        <v>14</v>
      </c>
      <c r="C19" s="65" t="s">
        <v>399</v>
      </c>
      <c r="D19" s="65"/>
    </row>
    <row r="20" spans="2:4" ht="39.950000000000003" customHeight="1" x14ac:dyDescent="0.2">
      <c r="B20" s="64">
        <v>15</v>
      </c>
      <c r="C20" s="65" t="s">
        <v>410</v>
      </c>
      <c r="D20" s="65"/>
    </row>
    <row r="21" spans="2:4" ht="39.950000000000003" customHeight="1" x14ac:dyDescent="0.2">
      <c r="B21" s="64">
        <v>16</v>
      </c>
      <c r="C21" s="65"/>
      <c r="D21" s="65"/>
    </row>
    <row r="22" spans="2:4" ht="39.950000000000003" customHeight="1" x14ac:dyDescent="0.2">
      <c r="B22" s="64">
        <v>17</v>
      </c>
      <c r="C22" s="65"/>
      <c r="D22" s="65"/>
    </row>
    <row r="23" spans="2:4" ht="39.950000000000003" customHeight="1" x14ac:dyDescent="0.2">
      <c r="B23" s="64">
        <v>18</v>
      </c>
      <c r="C23" s="65"/>
      <c r="D23" s="65"/>
    </row>
    <row r="24" spans="2:4" ht="39.950000000000003" customHeight="1" x14ac:dyDescent="0.2">
      <c r="B24" s="64">
        <v>19</v>
      </c>
      <c r="C24" s="65"/>
      <c r="D24" s="65"/>
    </row>
    <row r="25" spans="2:4" ht="39.950000000000003" customHeight="1" x14ac:dyDescent="0.2">
      <c r="B25" s="64">
        <v>20</v>
      </c>
      <c r="C25" s="65"/>
      <c r="D25" s="65"/>
    </row>
    <row r="26" spans="2:4" ht="39.950000000000003" customHeight="1" x14ac:dyDescent="0.2">
      <c r="B26" s="64">
        <v>21</v>
      </c>
      <c r="C26" s="65"/>
      <c r="D26" s="65"/>
    </row>
    <row r="27" spans="2:4" ht="39.950000000000003" customHeight="1" x14ac:dyDescent="0.2">
      <c r="B27" s="64">
        <v>22</v>
      </c>
      <c r="C27" s="65"/>
      <c r="D27" s="65"/>
    </row>
    <row r="28" spans="2:4" ht="39.950000000000003" customHeight="1" x14ac:dyDescent="0.2">
      <c r="B28" s="64">
        <v>23</v>
      </c>
      <c r="C28" s="65"/>
      <c r="D28" s="65"/>
    </row>
    <row r="29" spans="2:4" ht="39.950000000000003" customHeight="1" x14ac:dyDescent="0.2">
      <c r="B29" s="64">
        <v>24</v>
      </c>
      <c r="C29" s="65"/>
      <c r="D29" s="65"/>
    </row>
    <row r="30" spans="2:4" ht="39.950000000000003" customHeight="1" x14ac:dyDescent="0.2">
      <c r="B30" s="64">
        <v>25</v>
      </c>
      <c r="C30" s="65"/>
      <c r="D30" s="65"/>
    </row>
    <row r="31" spans="2:4" ht="39.950000000000003" customHeight="1" x14ac:dyDescent="0.2">
      <c r="B31" s="64">
        <v>26</v>
      </c>
      <c r="C31" s="65"/>
      <c r="D31" s="65"/>
    </row>
    <row r="32" spans="2:4" ht="39.950000000000003" customHeight="1" x14ac:dyDescent="0.2">
      <c r="B32" s="64">
        <v>27</v>
      </c>
      <c r="C32" s="65"/>
      <c r="D32" s="65"/>
    </row>
    <row r="33" spans="2:4" ht="39.950000000000003" customHeight="1" x14ac:dyDescent="0.2">
      <c r="B33" s="64">
        <v>28</v>
      </c>
      <c r="C33" s="65"/>
      <c r="D33" s="65"/>
    </row>
    <row r="34" spans="2:4" ht="39.950000000000003" customHeight="1" x14ac:dyDescent="0.2">
      <c r="B34" s="64">
        <v>29</v>
      </c>
      <c r="C34" s="65"/>
      <c r="D34" s="65"/>
    </row>
    <row r="35" spans="2:4" ht="39.950000000000003" customHeight="1" x14ac:dyDescent="0.2">
      <c r="B35" s="64">
        <v>30</v>
      </c>
      <c r="C35" s="65"/>
      <c r="D35" s="65"/>
    </row>
    <row r="36" spans="2:4" ht="39.950000000000003" customHeight="1" x14ac:dyDescent="0.2">
      <c r="B36" s="64">
        <v>31</v>
      </c>
      <c r="C36" s="65"/>
      <c r="D36" s="65"/>
    </row>
    <row r="37" spans="2:4" ht="39.950000000000003" customHeight="1" x14ac:dyDescent="0.2">
      <c r="B37" s="64">
        <v>32</v>
      </c>
      <c r="C37" s="65"/>
      <c r="D37" s="65"/>
    </row>
    <row r="38" spans="2:4" ht="39.950000000000003" customHeight="1" x14ac:dyDescent="0.2">
      <c r="B38" s="64">
        <v>33</v>
      </c>
      <c r="C38" s="65"/>
      <c r="D38" s="65"/>
    </row>
    <row r="39" spans="2:4" ht="39.950000000000003" customHeight="1" x14ac:dyDescent="0.2">
      <c r="B39" s="64">
        <v>34</v>
      </c>
      <c r="C39" s="65"/>
      <c r="D39" s="65"/>
    </row>
    <row r="40" spans="2:4" ht="39.950000000000003" customHeight="1" x14ac:dyDescent="0.2">
      <c r="B40" s="64">
        <v>35</v>
      </c>
      <c r="C40" s="65"/>
      <c r="D40" s="65"/>
    </row>
    <row r="41" spans="2:4" ht="39.950000000000003" customHeight="1" x14ac:dyDescent="0.2">
      <c r="B41" s="64">
        <v>36</v>
      </c>
      <c r="C41" s="65"/>
      <c r="D41" s="65"/>
    </row>
    <row r="42" spans="2:4" ht="39.950000000000003" customHeight="1" x14ac:dyDescent="0.2">
      <c r="B42" s="64">
        <v>37</v>
      </c>
      <c r="C42" s="65"/>
      <c r="D42" s="65"/>
    </row>
    <row r="43" spans="2:4" ht="39.950000000000003" customHeight="1" x14ac:dyDescent="0.2">
      <c r="B43" s="64">
        <v>38</v>
      </c>
      <c r="C43" s="65"/>
      <c r="D43" s="65"/>
    </row>
    <row r="44" spans="2:4" ht="39.950000000000003" customHeight="1" x14ac:dyDescent="0.2">
      <c r="B44" s="64">
        <v>39</v>
      </c>
      <c r="C44" s="65"/>
      <c r="D44" s="65"/>
    </row>
    <row r="45" spans="2:4" ht="39.950000000000003" customHeight="1" thickBot="1" x14ac:dyDescent="0.25">
      <c r="B45" s="66">
        <v>40</v>
      </c>
      <c r="C45" s="67"/>
      <c r="D45" s="67"/>
    </row>
  </sheetData>
  <mergeCells count="2">
    <mergeCell ref="B2:E2"/>
    <mergeCell ref="B3:E3"/>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8F4FC-687A-4059-BB46-391E095320D8}">
  <dimension ref="B1:S46"/>
  <sheetViews>
    <sheetView showGridLines="0" topLeftCell="A2" workbookViewId="0"/>
  </sheetViews>
  <sheetFormatPr defaultColWidth="9" defaultRowHeight="12.75" x14ac:dyDescent="0.2"/>
  <cols>
    <col min="1" max="1" width="2.75" style="1" customWidth="1"/>
    <col min="2" max="2" width="9" style="1"/>
    <col min="3" max="3" width="60.5" style="1" customWidth="1"/>
    <col min="4" max="5" width="20.625" style="37" customWidth="1"/>
    <col min="6" max="7" width="20.625" style="1" customWidth="1"/>
    <col min="8" max="8" width="12.625" style="1" customWidth="1"/>
    <col min="9" max="10" width="25.625" style="1" customWidth="1"/>
    <col min="11" max="11" width="13.625" style="1" customWidth="1"/>
    <col min="12" max="13" width="20.625" style="1" customWidth="1"/>
    <col min="14" max="14" width="25.625" style="37" customWidth="1"/>
    <col min="15" max="15" width="20.625" style="37" customWidth="1"/>
    <col min="16" max="19" width="20.625" style="1" customWidth="1"/>
    <col min="20" max="25" width="20.5" style="1" customWidth="1"/>
    <col min="26" max="16384" width="9" style="1"/>
  </cols>
  <sheetData>
    <row r="1" spans="2:19" ht="15" customHeight="1" x14ac:dyDescent="0.2"/>
    <row r="2" spans="2:19" ht="33.75" customHeight="1" x14ac:dyDescent="0.25">
      <c r="B2" s="422" t="s">
        <v>424</v>
      </c>
      <c r="C2" s="423"/>
      <c r="D2" s="423"/>
      <c r="E2" s="423"/>
      <c r="F2" s="423"/>
      <c r="G2" s="423"/>
      <c r="H2" s="423"/>
      <c r="I2" s="423"/>
      <c r="J2" s="423"/>
      <c r="K2" s="423"/>
      <c r="L2" s="423"/>
      <c r="M2" s="43"/>
      <c r="N2" s="192"/>
      <c r="O2" s="192"/>
    </row>
    <row r="3" spans="2:19" ht="57.75" customHeight="1" x14ac:dyDescent="0.25">
      <c r="B3" s="424" t="s">
        <v>425</v>
      </c>
      <c r="C3" s="424"/>
      <c r="D3" s="424" t="s">
        <v>426</v>
      </c>
      <c r="E3" s="425"/>
      <c r="F3" s="425"/>
      <c r="G3" s="425"/>
      <c r="H3" s="425"/>
      <c r="I3" s="425"/>
      <c r="J3" s="425"/>
      <c r="K3" s="425"/>
      <c r="L3" s="425"/>
      <c r="M3" s="43"/>
    </row>
    <row r="4" spans="2:19" ht="39.950000000000003" customHeight="1" thickBot="1" x14ac:dyDescent="0.25">
      <c r="B4" s="433"/>
      <c r="C4" s="433"/>
      <c r="D4" s="193" t="str">
        <f xml:space="preserve"> "High " &amp; '2. Setup'!E9 &amp; CHAR(10) &amp; "Medium " &amp; '2. Setup'!E10 &amp; CHAR(10) &amp; "Low " &amp; '2. Setup'!E11</f>
        <v>High &gt;$100K
Medium $10K-$100K
Low &lt;$10,000</v>
      </c>
      <c r="E4" s="193" t="str">
        <f xml:space="preserve"> "High " &amp; '2. Setup'!E12 &amp; CHAR(10) &amp; "Medium " &amp; '2. Setup'!E13 &amp; CHAR(10) &amp; "Low " &amp; '2. Setup'!E14</f>
        <v>High &gt;$100K
Medium $10K-$100K
Low &lt;$10,000</v>
      </c>
      <c r="F4" s="193" t="str">
        <f xml:space="preserve"> "High " &amp; '2. Setup'!E15 &amp; CHAR(10) &amp; "Medium " &amp; '2. Setup'!E16 &amp; CHAR(10) &amp; "Low " &amp; '2. Setup'!E17</f>
        <v>High  &gt;160 Hours
Medium 40-160 Hours
Low  &lt;40 Hours</v>
      </c>
      <c r="G4" s="193" t="str">
        <f xml:space="preserve"> "High " &amp; '2. Setup'!E18 &amp; CHAR(10) &amp; "Medium " &amp; '2. Setup'!E19 &amp; CHAR(10) &amp; "Low " &amp; '2. Setup'!E20</f>
        <v>High &gt;0.5 FTE
Medium 0.1-0.5 FTE
Low &lt;0.1 FTE</v>
      </c>
      <c r="N4" s="426" t="s">
        <v>427</v>
      </c>
    </row>
    <row r="5" spans="2:19" ht="20.100000000000001" customHeight="1" thickBot="1" x14ac:dyDescent="0.25">
      <c r="B5" s="261"/>
      <c r="C5" s="261"/>
      <c r="D5" s="428" t="s">
        <v>428</v>
      </c>
      <c r="E5" s="429"/>
      <c r="F5" s="428" t="s">
        <v>429</v>
      </c>
      <c r="G5" s="429"/>
      <c r="I5" s="430" t="s">
        <v>430</v>
      </c>
      <c r="J5" s="431"/>
      <c r="L5" s="420" t="s">
        <v>431</v>
      </c>
      <c r="M5" s="432"/>
      <c r="N5" s="427"/>
      <c r="P5" s="420" t="s">
        <v>432</v>
      </c>
      <c r="Q5" s="421"/>
      <c r="R5" s="420" t="s">
        <v>433</v>
      </c>
      <c r="S5" s="421"/>
    </row>
    <row r="6" spans="2:19" s="40" customFormat="1" ht="39.950000000000003" customHeight="1" thickBot="1" x14ac:dyDescent="0.25">
      <c r="B6" s="194" t="s">
        <v>415</v>
      </c>
      <c r="C6" s="226" t="s">
        <v>416</v>
      </c>
      <c r="D6" s="195" t="s">
        <v>9</v>
      </c>
      <c r="E6" s="196" t="s">
        <v>434</v>
      </c>
      <c r="F6" s="195" t="s">
        <v>435</v>
      </c>
      <c r="G6" s="196" t="s">
        <v>436</v>
      </c>
      <c r="H6" s="197" t="s">
        <v>437</v>
      </c>
      <c r="I6" s="198" t="s">
        <v>438</v>
      </c>
      <c r="J6" s="199" t="s">
        <v>439</v>
      </c>
      <c r="K6" s="197" t="s">
        <v>440</v>
      </c>
      <c r="L6" s="195" t="s">
        <v>441</v>
      </c>
      <c r="M6" s="196" t="s">
        <v>442</v>
      </c>
      <c r="N6" s="200" t="s">
        <v>443</v>
      </c>
      <c r="O6" s="61" t="s">
        <v>444</v>
      </c>
      <c r="P6" s="195" t="s">
        <v>9</v>
      </c>
      <c r="Q6" s="196" t="s">
        <v>434</v>
      </c>
      <c r="R6" s="195" t="s">
        <v>445</v>
      </c>
      <c r="S6" s="196" t="s">
        <v>446</v>
      </c>
    </row>
    <row r="7" spans="2:19" ht="39.950000000000003" customHeight="1" x14ac:dyDescent="0.2">
      <c r="B7" s="227">
        <v>1</v>
      </c>
      <c r="C7" s="33" t="str">
        <f>IF('5. Initiative List'!C6 = "", "", '5. Initiative List'!C6)</f>
        <v>Implement Secure SDLC Requirements Gathering Templates</v>
      </c>
      <c r="D7" s="224" t="s">
        <v>14</v>
      </c>
      <c r="E7" s="224" t="s">
        <v>12</v>
      </c>
      <c r="F7" s="201" t="s">
        <v>10</v>
      </c>
      <c r="G7" s="201" t="s">
        <v>10</v>
      </c>
      <c r="H7" s="202">
        <f>IFERROR(
SUM(VLOOKUP(D7,'9. List &amp; Calc'!$E$159:$G$162,2,FALSE),VLOOKUP(E7,'9. List &amp; Calc'!$E$164:$F$168,2,FALSE),VLOOKUP('6. Prioritization'!F7,'9. List &amp; Calc'!$E$171:$F$174,2,FALSE),VLOOKUP('6. Prioritization'!G7,'9. List &amp; Calc'!$E$177:$F$180,2,FALSE)),
"")</f>
        <v>9</v>
      </c>
      <c r="I7" s="203" t="str">
        <f>IF(C7="", "", '9. List &amp; Calc'!F183)</f>
        <v>High - Supports multiple priority opportunities</v>
      </c>
      <c r="J7" s="204" t="str">
        <f>IF(C7="", "", '9. List &amp; Calc'!G183)</f>
        <v>High - Mitigates multiple priority threats</v>
      </c>
      <c r="K7" s="202">
        <f>IFERROR(
SUM(VLOOKUP(I7,'9. List &amp; Calc'!$F$149:$G$151,2,FALSE),VLOOKUP(J7,'9. List &amp; Calc'!$F$154:$G$156,2,FALSE)),
"")</f>
        <v>6</v>
      </c>
      <c r="L7" s="63"/>
      <c r="M7" s="63"/>
      <c r="N7" s="205">
        <v>1</v>
      </c>
      <c r="O7" s="205"/>
      <c r="P7" s="206">
        <f>IF(D7="", "", VLOOKUP(D7, '9. List &amp; Calc'!$E$159:$G$162, 3, FALSE))</f>
        <v>5000</v>
      </c>
      <c r="Q7" s="206">
        <f>IF(E7="", "", VLOOKUP(E7, '9. List &amp; Calc'!$E$165:$G$168, 3, FALSE))</f>
        <v>50000</v>
      </c>
      <c r="R7" s="205">
        <f>IF(F7="", "", VLOOKUP(F7, '9. List &amp; Calc'!$E$171:$G$174, 3, FALSE))</f>
        <v>240</v>
      </c>
      <c r="S7" s="207">
        <f>IF(G7="", "", VLOOKUP(G7, '9. List &amp; Calc'!$E$177:$G$180, 3, FALSE))</f>
        <v>0.5</v>
      </c>
    </row>
    <row r="8" spans="2:19" ht="39.950000000000003" customHeight="1" x14ac:dyDescent="0.2">
      <c r="B8" s="228">
        <v>2</v>
      </c>
      <c r="C8" s="225" t="str">
        <f>IF('5. Initiative List'!C7 = "", "", '5. Initiative List'!C7)</f>
        <v>Deploy Threat Modeling Automation Tools (e.g. ThreatSpec, IriusRisk)</v>
      </c>
      <c r="D8" s="211" t="s">
        <v>447</v>
      </c>
      <c r="E8" s="211" t="s">
        <v>447</v>
      </c>
      <c r="F8" s="208" t="s">
        <v>12</v>
      </c>
      <c r="G8" s="208" t="s">
        <v>12</v>
      </c>
      <c r="H8" s="209">
        <f>IFERROR(
SUM(VLOOKUP(D8,'9. List &amp; Calc'!$E$159:$G$162,2,FALSE),VLOOKUP(E8,'9. List &amp; Calc'!$E$164:$F$168,2,FALSE),VLOOKUP('6. Prioritization'!F8,'9. List &amp; Calc'!$E$171:$F$174,2,FALSE),VLOOKUP('6. Prioritization'!G8,'9. List &amp; Calc'!$E$177:$F$180,2,FALSE)),
"")</f>
        <v>4</v>
      </c>
      <c r="I8" s="210" t="str">
        <f>IF(C8="", "", '9. List &amp; Calc'!F184)</f>
        <v>Low - Other</v>
      </c>
      <c r="J8" s="211" t="str">
        <f>IF(C8="", "", '9. List &amp; Calc'!G184)</f>
        <v>Low - Foundational good practice</v>
      </c>
      <c r="K8" s="212">
        <f>IFERROR(
SUM(VLOOKUP(I8,'9. List &amp; Calc'!$F$149:$G$151,2,FALSE),VLOOKUP(J8,'9. List &amp; Calc'!$F$154:$G$156,2,FALSE)),
"")</f>
        <v>2</v>
      </c>
      <c r="L8" s="65"/>
      <c r="M8" s="65"/>
      <c r="N8" s="213">
        <v>1</v>
      </c>
      <c r="O8" s="213"/>
      <c r="P8" s="206">
        <f>IF(D8="", "", VLOOKUP(D8, '9. List &amp; Calc'!$E$159:$G$162, 3, FALSE))</f>
        <v>0</v>
      </c>
      <c r="Q8" s="206">
        <f>IF(E8="", "", VLOOKUP(E8, '9. List &amp; Calc'!$E$165:$G$168, 3, FALSE))</f>
        <v>0</v>
      </c>
      <c r="R8" s="213">
        <f>IF(F8="", "", VLOOKUP(F8, '9. List &amp; Calc'!$E$171:$G$174, 3, FALSE))</f>
        <v>120</v>
      </c>
      <c r="S8" s="214">
        <f>IF(G8="", "", VLOOKUP(G8, '9. List &amp; Calc'!$E$177:$G$180, 3, FALSE))</f>
        <v>0.25</v>
      </c>
    </row>
    <row r="9" spans="2:19" ht="39.950000000000003" customHeight="1" x14ac:dyDescent="0.2">
      <c r="B9" s="229">
        <v>3</v>
      </c>
      <c r="C9" s="33" t="str">
        <f>IF('5. Initiative List'!C8 = "", "", '5. Initiative List'!C8)</f>
        <v>Establish Secure Architecture Review Board</v>
      </c>
      <c r="D9" s="211" t="s">
        <v>14</v>
      </c>
      <c r="E9" s="211" t="s">
        <v>14</v>
      </c>
      <c r="F9" s="208" t="s">
        <v>10</v>
      </c>
      <c r="G9" s="208" t="s">
        <v>10</v>
      </c>
      <c r="H9" s="209">
        <f>IFERROR(
SUM(VLOOKUP(D9,'9. List &amp; Calc'!$E$159:$G$162,2,FALSE),VLOOKUP(E9,'9. List &amp; Calc'!$E$164:$F$168,2,FALSE),VLOOKUP('6. Prioritization'!F9,'9. List &amp; Calc'!$E$171:$F$174,2,FALSE),VLOOKUP('6. Prioritization'!G9,'9. List &amp; Calc'!$E$177:$F$180,2,FALSE)),
"")</f>
        <v>8</v>
      </c>
      <c r="I9" s="210" t="str">
        <f>IF(C9="", "", '9. List &amp; Calc'!F185)</f>
        <v>High - Supports multiple priority opportunities</v>
      </c>
      <c r="J9" s="211" t="str">
        <f>IF(C9="", "", '9. List &amp; Calc'!G185)</f>
        <v>High - Mitigates multiple priority threats</v>
      </c>
      <c r="K9" s="212">
        <f>IFERROR(
SUM(VLOOKUP(I9,'9. List &amp; Calc'!$F$149:$G$151,2,FALSE),VLOOKUP(J9,'9. List &amp; Calc'!$F$154:$G$156,2,FALSE)),
"")</f>
        <v>6</v>
      </c>
      <c r="L9" s="65"/>
      <c r="M9" s="65"/>
      <c r="N9" s="213">
        <v>2</v>
      </c>
      <c r="O9" s="213"/>
      <c r="P9" s="206">
        <f>IF(D9="", "", VLOOKUP(D9, '9. List &amp; Calc'!$E$159:$G$162, 3, FALSE))</f>
        <v>5000</v>
      </c>
      <c r="Q9" s="206">
        <f>IF(E9="", "", VLOOKUP(E9, '9. List &amp; Calc'!$E$165:$G$168, 3, FALSE))</f>
        <v>5000</v>
      </c>
      <c r="R9" s="213">
        <f>IF(F9="", "", VLOOKUP(F9, '9. List &amp; Calc'!$E$171:$G$174, 3, FALSE))</f>
        <v>240</v>
      </c>
      <c r="S9" s="214">
        <f>IF(G9="", "", VLOOKUP(G9, '9. List &amp; Calc'!$E$177:$G$180, 3, FALSE))</f>
        <v>0.5</v>
      </c>
    </row>
    <row r="10" spans="2:19" ht="39.950000000000003" customHeight="1" x14ac:dyDescent="0.2">
      <c r="B10" s="228">
        <v>4</v>
      </c>
      <c r="C10" s="225" t="str">
        <f>IF('5. Initiative List'!C9 = "", "", '5. Initiative List'!C9)</f>
        <v>Implement Secure AI/ML Design Controls &amp; Data Lineage Tracking</v>
      </c>
      <c r="D10" s="211" t="s">
        <v>12</v>
      </c>
      <c r="E10" s="211" t="s">
        <v>12</v>
      </c>
      <c r="F10" s="208" t="s">
        <v>12</v>
      </c>
      <c r="G10" s="208" t="s">
        <v>12</v>
      </c>
      <c r="H10" s="209">
        <f>IFERROR(
SUM(VLOOKUP(D10,'9. List &amp; Calc'!$E$159:$G$162,2,FALSE),VLOOKUP(E10,'9. List &amp; Calc'!$E$164:$F$168,2,FALSE),VLOOKUP('6. Prioritization'!F10,'9. List &amp; Calc'!$E$171:$F$174,2,FALSE),VLOOKUP('6. Prioritization'!G10,'9. List &amp; Calc'!$E$177:$F$180,2,FALSE)),
"")</f>
        <v>8</v>
      </c>
      <c r="I10" s="210" t="str">
        <f>IF(C10="", "", '9. List &amp; Calc'!F186)</f>
        <v>Low - Other</v>
      </c>
      <c r="J10" s="211" t="str">
        <f>IF(C10="", "", '9. List &amp; Calc'!G186)</f>
        <v>Low - Foundational good practice</v>
      </c>
      <c r="K10" s="212">
        <f>IFERROR(
SUM(VLOOKUP(I10,'9. List &amp; Calc'!$F$149:$G$151,2,FALSE),VLOOKUP(J10,'9. List &amp; Calc'!$F$154:$G$156,2,FALSE)),
"")</f>
        <v>2</v>
      </c>
      <c r="L10" s="65"/>
      <c r="M10" s="65"/>
      <c r="N10" s="213">
        <v>3</v>
      </c>
      <c r="O10" s="213"/>
      <c r="P10" s="206">
        <f>IF(D10="", "", VLOOKUP(D10, '9. List &amp; Calc'!$E$159:$G$162, 3, FALSE))</f>
        <v>50000</v>
      </c>
      <c r="Q10" s="206">
        <f>IF(E10="", "", VLOOKUP(E10, '9. List &amp; Calc'!$E$165:$G$168, 3, FALSE))</f>
        <v>50000</v>
      </c>
      <c r="R10" s="213">
        <f>IF(F10="", "", VLOOKUP(F10, '9. List &amp; Calc'!$E$171:$G$174, 3, FALSE))</f>
        <v>120</v>
      </c>
      <c r="S10" s="214">
        <f>IF(G10="", "", VLOOKUP(G10, '9. List &amp; Calc'!$E$177:$G$180, 3, FALSE))</f>
        <v>0.25</v>
      </c>
    </row>
    <row r="11" spans="2:19" ht="39.950000000000003" customHeight="1" x14ac:dyDescent="0.2">
      <c r="B11" s="229">
        <v>5</v>
      </c>
      <c r="C11" s="33" t="str">
        <f>IF('5. Initiative List'!C10 = "", "", '5. Initiative List'!C10)</f>
        <v>Train Developers on Secure Coding Practices (OWASP Top 10)</v>
      </c>
      <c r="D11" s="211" t="s">
        <v>14</v>
      </c>
      <c r="E11" s="211" t="s">
        <v>14</v>
      </c>
      <c r="F11" s="208" t="s">
        <v>12</v>
      </c>
      <c r="G11" s="208" t="s">
        <v>12</v>
      </c>
      <c r="H11" s="209">
        <f>IFERROR(
SUM(VLOOKUP(D11,'9. List &amp; Calc'!$E$159:$G$162,2,FALSE),VLOOKUP(E11,'9. List &amp; Calc'!$E$164:$F$168,2,FALSE),VLOOKUP('6. Prioritization'!F11,'9. List &amp; Calc'!$E$171:$F$174,2,FALSE),VLOOKUP('6. Prioritization'!G11,'9. List &amp; Calc'!$E$177:$F$180,2,FALSE)),
"")</f>
        <v>6</v>
      </c>
      <c r="I11" s="210" t="str">
        <f>IF(C11="", "", '9. List &amp; Calc'!F187)</f>
        <v>High - Supports multiple priority opportunities</v>
      </c>
      <c r="J11" s="211" t="str">
        <f>IF(C11="", "", '9. List &amp; Calc'!G187)</f>
        <v>High - Mitigates multiple priority threats</v>
      </c>
      <c r="K11" s="212">
        <f>IFERROR(
SUM(VLOOKUP(I11,'9. List &amp; Calc'!$F$149:$G$151,2,FALSE),VLOOKUP(J11,'9. List &amp; Calc'!$F$154:$G$156,2,FALSE)),
"")</f>
        <v>6</v>
      </c>
      <c r="L11" s="65"/>
      <c r="M11" s="65"/>
      <c r="N11" s="213">
        <v>4</v>
      </c>
      <c r="O11" s="213"/>
      <c r="P11" s="206">
        <f>IF(D11="", "", VLOOKUP(D11, '9. List &amp; Calc'!$E$159:$G$162, 3, FALSE))</f>
        <v>5000</v>
      </c>
      <c r="Q11" s="206">
        <f>IF(E11="", "", VLOOKUP(E11, '9. List &amp; Calc'!$E$165:$G$168, 3, FALSE))</f>
        <v>5000</v>
      </c>
      <c r="R11" s="213">
        <f>IF(F11="", "", VLOOKUP(F11, '9. List &amp; Calc'!$E$171:$G$174, 3, FALSE))</f>
        <v>120</v>
      </c>
      <c r="S11" s="214">
        <f>IF(G11="", "", VLOOKUP(G11, '9. List &amp; Calc'!$E$177:$G$180, 3, FALSE))</f>
        <v>0.25</v>
      </c>
    </row>
    <row r="12" spans="2:19" ht="39.950000000000003" customHeight="1" x14ac:dyDescent="0.2">
      <c r="B12" s="228">
        <v>6</v>
      </c>
      <c r="C12" s="225" t="str">
        <f>IF('5. Initiative List'!C11 = "", "", '5. Initiative List'!C11)</f>
        <v>Integrate SAST Tools Into CI Pipeline</v>
      </c>
      <c r="D12" s="211" t="s">
        <v>12</v>
      </c>
      <c r="E12" s="211" t="s">
        <v>14</v>
      </c>
      <c r="F12" s="208" t="s">
        <v>14</v>
      </c>
      <c r="G12" s="208" t="s">
        <v>14</v>
      </c>
      <c r="H12" s="209">
        <f>IFERROR(
SUM(VLOOKUP(D12,'9. List &amp; Calc'!$E$159:$G$162,2,FALSE),VLOOKUP(E12,'9. List &amp; Calc'!$E$164:$F$168,2,FALSE),VLOOKUP('6. Prioritization'!F12,'9. List &amp; Calc'!$E$171:$F$174,2,FALSE),VLOOKUP('6. Prioritization'!G12,'9. List &amp; Calc'!$E$177:$F$180,2,FALSE)),
"")</f>
        <v>5</v>
      </c>
      <c r="I12" s="210" t="str">
        <f>IF(C12="", "", '9. List &amp; Calc'!F188)</f>
        <v>High - Supports multiple priority opportunities</v>
      </c>
      <c r="J12" s="211" t="str">
        <f>IF(C12="", "", '9. List &amp; Calc'!G188)</f>
        <v>High - Mitigates multiple priority threats</v>
      </c>
      <c r="K12" s="212">
        <f>IFERROR(
SUM(VLOOKUP(I12,'9. List &amp; Calc'!$F$149:$G$151,2,FALSE),VLOOKUP(J12,'9. List &amp; Calc'!$F$154:$G$156,2,FALSE)),
"")</f>
        <v>6</v>
      </c>
      <c r="L12" s="65"/>
      <c r="M12" s="65"/>
      <c r="N12" s="213">
        <v>3</v>
      </c>
      <c r="O12" s="213"/>
      <c r="P12" s="206">
        <f>IF(D12="", "", VLOOKUP(D12, '9. List &amp; Calc'!$E$159:$G$162, 3, FALSE))</f>
        <v>50000</v>
      </c>
      <c r="Q12" s="206">
        <f>IF(E12="", "", VLOOKUP(E12, '9. List &amp; Calc'!$E$165:$G$168, 3, FALSE))</f>
        <v>5000</v>
      </c>
      <c r="R12" s="213">
        <f>IF(F12="", "", VLOOKUP(F12, '9. List &amp; Calc'!$E$171:$G$174, 3, FALSE))</f>
        <v>30</v>
      </c>
      <c r="S12" s="214">
        <f>IF(G12="", "", VLOOKUP(G12, '9. List &amp; Calc'!$E$177:$G$180, 3, FALSE))</f>
        <v>0.05</v>
      </c>
    </row>
    <row r="13" spans="2:19" ht="39.950000000000003" customHeight="1" x14ac:dyDescent="0.2">
      <c r="B13" s="229">
        <v>7</v>
      </c>
      <c r="C13" s="33" t="str">
        <f>IF('5. Initiative List'!C12 = "", "", '5. Initiative List'!C12)</f>
        <v>Automate Software Composition Analysis &amp; Supply Chain Scanning</v>
      </c>
      <c r="D13" s="211" t="s">
        <v>10</v>
      </c>
      <c r="E13" s="211" t="s">
        <v>12</v>
      </c>
      <c r="F13" s="208" t="s">
        <v>12</v>
      </c>
      <c r="G13" s="208" t="s">
        <v>14</v>
      </c>
      <c r="H13" s="209">
        <f>IFERROR(
SUM(VLOOKUP(D13,'9. List &amp; Calc'!$E$159:$G$162,2,FALSE),VLOOKUP(E13,'9. List &amp; Calc'!$E$164:$F$168,2,FALSE),VLOOKUP('6. Prioritization'!F13,'9. List &amp; Calc'!$E$171:$F$174,2,FALSE),VLOOKUP('6. Prioritization'!G13,'9. List &amp; Calc'!$E$177:$F$180,2,FALSE)),
"")</f>
        <v>8</v>
      </c>
      <c r="I13" s="210" t="str">
        <f>IF(C13="", "", '9. List &amp; Calc'!F189)</f>
        <v>Medium - Supports a priority opportunity</v>
      </c>
      <c r="J13" s="211" t="str">
        <f>IF(C13="", "", '9. List &amp; Calc'!G189)</f>
        <v>Low - Foundational good practice</v>
      </c>
      <c r="K13" s="212">
        <f>IFERROR(
SUM(VLOOKUP(I13,'9. List &amp; Calc'!$F$149:$G$151,2,FALSE),VLOOKUP(J13,'9. List &amp; Calc'!$F$154:$G$156,2,FALSE)),
"")</f>
        <v>3</v>
      </c>
      <c r="L13" s="65"/>
      <c r="M13" s="65"/>
      <c r="N13" s="213">
        <v>4</v>
      </c>
      <c r="O13" s="213"/>
      <c r="P13" s="206">
        <f>IF(D13="", "", VLOOKUP(D13, '9. List &amp; Calc'!$E$159:$G$162, 3, FALSE))</f>
        <v>120000</v>
      </c>
      <c r="Q13" s="206">
        <f>IF(E13="", "", VLOOKUP(E13, '9. List &amp; Calc'!$E$165:$G$168, 3, FALSE))</f>
        <v>50000</v>
      </c>
      <c r="R13" s="213">
        <f>IF(F13="", "", VLOOKUP(F13, '9. List &amp; Calc'!$E$171:$G$174, 3, FALSE))</f>
        <v>120</v>
      </c>
      <c r="S13" s="214">
        <f>IF(G13="", "", VLOOKUP(G13, '9. List &amp; Calc'!$E$177:$G$180, 3, FALSE))</f>
        <v>0.05</v>
      </c>
    </row>
    <row r="14" spans="2:19" ht="39.950000000000003" customHeight="1" x14ac:dyDescent="0.2">
      <c r="B14" s="228">
        <v>8</v>
      </c>
      <c r="C14" s="225" t="str">
        <f>IF('5. Initiative List'!C13 = "", "", '5. Initiative List'!C13)</f>
        <v>Enhance CI/CD Pipelines With Secrets Scanning &amp; Signing Tools</v>
      </c>
      <c r="D14" s="211" t="s">
        <v>12</v>
      </c>
      <c r="E14" s="211" t="s">
        <v>14</v>
      </c>
      <c r="F14" s="208" t="s">
        <v>12</v>
      </c>
      <c r="G14" s="208" t="s">
        <v>14</v>
      </c>
      <c r="H14" s="209">
        <f>IFERROR(
SUM(VLOOKUP(D14,'9. List &amp; Calc'!$E$159:$G$162,2,FALSE),VLOOKUP(E14,'9. List &amp; Calc'!$E$164:$F$168,2,FALSE),VLOOKUP('6. Prioritization'!F14,'9. List &amp; Calc'!$E$171:$F$174,2,FALSE),VLOOKUP('6. Prioritization'!G14,'9. List &amp; Calc'!$E$177:$F$180,2,FALSE)),
"")</f>
        <v>6</v>
      </c>
      <c r="I14" s="210" t="str">
        <f>IF(C14="", "", '9. List &amp; Calc'!F190)</f>
        <v>High - Supports multiple priority opportunities</v>
      </c>
      <c r="J14" s="211" t="str">
        <f>IF(C14="", "", '9. List &amp; Calc'!G190)</f>
        <v>High - Mitigates multiple priority threats</v>
      </c>
      <c r="K14" s="212">
        <f>IFERROR(
SUM(VLOOKUP(I14,'9. List &amp; Calc'!$F$149:$G$151,2,FALSE),VLOOKUP(J14,'9. List &amp; Calc'!$F$154:$G$156,2,FALSE)),
"")</f>
        <v>6</v>
      </c>
      <c r="L14" s="65"/>
      <c r="M14" s="65"/>
      <c r="N14" s="213">
        <v>2</v>
      </c>
      <c r="O14" s="213"/>
      <c r="P14" s="206">
        <f>IF(D14="", "", VLOOKUP(D14, '9. List &amp; Calc'!$E$159:$G$162, 3, FALSE))</f>
        <v>50000</v>
      </c>
      <c r="Q14" s="206">
        <f>IF(E14="", "", VLOOKUP(E14, '9. List &amp; Calc'!$E$165:$G$168, 3, FALSE))</f>
        <v>5000</v>
      </c>
      <c r="R14" s="213">
        <f>IF(F14="", "", VLOOKUP(F14, '9. List &amp; Calc'!$E$171:$G$174, 3, FALSE))</f>
        <v>120</v>
      </c>
      <c r="S14" s="214">
        <f>IF(G14="", "", VLOOKUP(G14, '9. List &amp; Calc'!$E$177:$G$180, 3, FALSE))</f>
        <v>0.05</v>
      </c>
    </row>
    <row r="15" spans="2:19" ht="39.950000000000003" customHeight="1" x14ac:dyDescent="0.2">
      <c r="B15" s="229">
        <v>9</v>
      </c>
      <c r="C15" s="33" t="str">
        <f>IF('5. Initiative List'!C14 = "", "", '5. Initiative List'!C14)</f>
        <v>Implement IaC and Container Security Scanning</v>
      </c>
      <c r="D15" s="211" t="s">
        <v>14</v>
      </c>
      <c r="E15" s="211" t="s">
        <v>14</v>
      </c>
      <c r="F15" s="208" t="s">
        <v>14</v>
      </c>
      <c r="G15" s="208" t="s">
        <v>447</v>
      </c>
      <c r="H15" s="209">
        <f>IFERROR(
SUM(VLOOKUP(D15,'9. List &amp; Calc'!$E$159:$G$162,2,FALSE),VLOOKUP(E15,'9. List &amp; Calc'!$E$164:$F$168,2,FALSE),VLOOKUP('6. Prioritization'!F15,'9. List &amp; Calc'!$E$171:$F$174,2,FALSE),VLOOKUP('6. Prioritization'!G15,'9. List &amp; Calc'!$E$177:$F$180,2,FALSE)),
"")</f>
        <v>3</v>
      </c>
      <c r="I15" s="210" t="str">
        <f>IF(C15="", "", '9. List &amp; Calc'!F191)</f>
        <v>Medium - Supports a priority opportunity</v>
      </c>
      <c r="J15" s="211" t="str">
        <f>IF(C15="", "", '9. List &amp; Calc'!G191)</f>
        <v>Low - Foundational good practice</v>
      </c>
      <c r="K15" s="212">
        <f>IFERROR(
SUM(VLOOKUP(I15,'9. List &amp; Calc'!$F$149:$G$151,2,FALSE),VLOOKUP(J15,'9. List &amp; Calc'!$F$154:$G$156,2,FALSE)),
"")</f>
        <v>3</v>
      </c>
      <c r="L15" s="65"/>
      <c r="M15" s="65"/>
      <c r="N15" s="213">
        <v>4</v>
      </c>
      <c r="O15" s="213"/>
      <c r="P15" s="206">
        <f>IF(D15="", "", VLOOKUP(D15, '9. List &amp; Calc'!$E$159:$G$162, 3, FALSE))</f>
        <v>5000</v>
      </c>
      <c r="Q15" s="206">
        <f>IF(E15="", "", VLOOKUP(E15, '9. List &amp; Calc'!$E$165:$G$168, 3, FALSE))</f>
        <v>5000</v>
      </c>
      <c r="R15" s="213">
        <f>IF(F15="", "", VLOOKUP(F15, '9. List &amp; Calc'!$E$171:$G$174, 3, FALSE))</f>
        <v>30</v>
      </c>
      <c r="S15" s="214">
        <f>IF(G15="", "", VLOOKUP(G15, '9. List &amp; Calc'!$E$177:$G$180, 3, FALSE))</f>
        <v>0</v>
      </c>
    </row>
    <row r="16" spans="2:19" ht="39.950000000000003" customHeight="1" x14ac:dyDescent="0.2">
      <c r="B16" s="228">
        <v>10</v>
      </c>
      <c r="C16" s="225" t="str">
        <f>IF('5. Initiative List'!C15 = "", "", '5. Initiative List'!C15)</f>
        <v>Adopt Policy-as-Code for Automated Security Governance</v>
      </c>
      <c r="D16" s="211" t="s">
        <v>10</v>
      </c>
      <c r="E16" s="211" t="s">
        <v>14</v>
      </c>
      <c r="F16" s="208" t="s">
        <v>12</v>
      </c>
      <c r="G16" s="208" t="s">
        <v>14</v>
      </c>
      <c r="H16" s="209">
        <f>IFERROR(
SUM(VLOOKUP(D16,'9. List &amp; Calc'!$E$159:$G$162,2,FALSE),VLOOKUP(E16,'9. List &amp; Calc'!$E$164:$F$168,2,FALSE),VLOOKUP('6. Prioritization'!F16,'9. List &amp; Calc'!$E$171:$F$174,2,FALSE),VLOOKUP('6. Prioritization'!G16,'9. List &amp; Calc'!$E$177:$F$180,2,FALSE)),
"")</f>
        <v>7</v>
      </c>
      <c r="I16" s="210" t="str">
        <f>IF(C16="", "", '9. List &amp; Calc'!F192)</f>
        <v>High - Supports multiple priority opportunities</v>
      </c>
      <c r="J16" s="211" t="str">
        <f>IF(C16="", "", '9. List &amp; Calc'!G192)</f>
        <v>Medium - Mitigates a priority threat</v>
      </c>
      <c r="K16" s="212">
        <f>IFERROR(
SUM(VLOOKUP(I16,'9. List &amp; Calc'!$F$149:$G$151,2,FALSE),VLOOKUP(J16,'9. List &amp; Calc'!$F$154:$G$156,2,FALSE)),
"")</f>
        <v>5</v>
      </c>
      <c r="L16" s="65"/>
      <c r="M16" s="65"/>
      <c r="N16" s="213">
        <v>3</v>
      </c>
      <c r="O16" s="213"/>
      <c r="P16" s="206">
        <f>IF(D16="", "", VLOOKUP(D16, '9. List &amp; Calc'!$E$159:$G$162, 3, FALSE))</f>
        <v>120000</v>
      </c>
      <c r="Q16" s="206">
        <f>IF(E16="", "", VLOOKUP(E16, '9. List &amp; Calc'!$E$165:$G$168, 3, FALSE))</f>
        <v>5000</v>
      </c>
      <c r="R16" s="213">
        <f>IF(F16="", "", VLOOKUP(F16, '9. List &amp; Calc'!$E$171:$G$174, 3, FALSE))</f>
        <v>120</v>
      </c>
      <c r="S16" s="214">
        <f>IF(G16="", "", VLOOKUP(G16, '9. List &amp; Calc'!$E$177:$G$180, 3, FALSE))</f>
        <v>0.05</v>
      </c>
    </row>
    <row r="17" spans="2:19" ht="39.950000000000003" customHeight="1" x14ac:dyDescent="0.2">
      <c r="B17" s="229">
        <v>11</v>
      </c>
      <c r="C17" s="33" t="str">
        <f>IF('5. Initiative List'!C16 = "", "", '5. Initiative List'!C16)</f>
        <v>Establish Fuzzing and Red Team Engagement Programs</v>
      </c>
      <c r="D17" s="211" t="s">
        <v>12</v>
      </c>
      <c r="E17" s="211" t="s">
        <v>12</v>
      </c>
      <c r="F17" s="208" t="s">
        <v>12</v>
      </c>
      <c r="G17" s="208" t="s">
        <v>14</v>
      </c>
      <c r="H17" s="209">
        <f>IFERROR(
SUM(VLOOKUP(D17,'9. List &amp; Calc'!$E$159:$G$162,2,FALSE),VLOOKUP(E17,'9. List &amp; Calc'!$E$164:$F$168,2,FALSE),VLOOKUP('6. Prioritization'!F17,'9. List &amp; Calc'!$E$171:$F$174,2,FALSE),VLOOKUP('6. Prioritization'!G17,'9. List &amp; Calc'!$E$177:$F$180,2,FALSE)),
"")</f>
        <v>7</v>
      </c>
      <c r="I17" s="210" t="str">
        <f>IF(C17="", "", '9. List &amp; Calc'!F193)</f>
        <v>Medium - Supports a priority opportunity</v>
      </c>
      <c r="J17" s="211" t="str">
        <f>IF(C17="", "", '9. List &amp; Calc'!G193)</f>
        <v>High - Mitigates multiple priority threats</v>
      </c>
      <c r="K17" s="212">
        <f>IFERROR(
SUM(VLOOKUP(I17,'9. List &amp; Calc'!$F$149:$G$151,2,FALSE),VLOOKUP(J17,'9. List &amp; Calc'!$F$154:$G$156,2,FALSE)),
"")</f>
        <v>5</v>
      </c>
      <c r="L17" s="65"/>
      <c r="M17" s="65"/>
      <c r="N17" s="213">
        <v>2</v>
      </c>
      <c r="O17" s="213"/>
      <c r="P17" s="206">
        <f>IF(D17="", "", VLOOKUP(D17, '9. List &amp; Calc'!$E$159:$G$162, 3, FALSE))</f>
        <v>50000</v>
      </c>
      <c r="Q17" s="206">
        <f>IF(E17="", "", VLOOKUP(E17, '9. List &amp; Calc'!$E$165:$G$168, 3, FALSE))</f>
        <v>50000</v>
      </c>
      <c r="R17" s="213">
        <f>IF(F17="", "", VLOOKUP(F17, '9. List &amp; Calc'!$E$171:$G$174, 3, FALSE))</f>
        <v>120</v>
      </c>
      <c r="S17" s="214">
        <f>IF(G17="", "", VLOOKUP(G17, '9. List &amp; Calc'!$E$177:$G$180, 3, FALSE))</f>
        <v>0.05</v>
      </c>
    </row>
    <row r="18" spans="2:19" ht="39.950000000000003" customHeight="1" x14ac:dyDescent="0.2">
      <c r="B18" s="228">
        <v>12</v>
      </c>
      <c r="C18" s="225" t="str">
        <f>IF('5. Initiative List'!C17 = "", "", '5. Initiative List'!C17)</f>
        <v>Deploy Centralized Security Monitoring and Threat Detection Tools</v>
      </c>
      <c r="D18" s="211" t="s">
        <v>10</v>
      </c>
      <c r="E18" s="211" t="s">
        <v>10</v>
      </c>
      <c r="F18" s="208" t="s">
        <v>10</v>
      </c>
      <c r="G18" s="208" t="s">
        <v>10</v>
      </c>
      <c r="H18" s="209">
        <f>IFERROR(
SUM(VLOOKUP(D18,'9. List &amp; Calc'!$E$159:$G$162,2,FALSE),VLOOKUP(E18,'9. List &amp; Calc'!$E$164:$F$168,2,FALSE),VLOOKUP('6. Prioritization'!F18,'9. List &amp; Calc'!$E$171:$F$174,2,FALSE),VLOOKUP('6. Prioritization'!G18,'9. List &amp; Calc'!$E$177:$F$180,2,FALSE)),
"")</f>
        <v>12</v>
      </c>
      <c r="I18" s="210" t="str">
        <f>IF(C18="", "", '9. List &amp; Calc'!F194)</f>
        <v>High - Supports multiple priority opportunities</v>
      </c>
      <c r="J18" s="211" t="str">
        <f>IF(C18="", "", '9. List &amp; Calc'!G194)</f>
        <v>High - Mitigates multiple priority threats</v>
      </c>
      <c r="K18" s="212">
        <f>IFERROR(
SUM(VLOOKUP(I18,'9. List &amp; Calc'!$F$149:$G$151,2,FALSE),VLOOKUP(J18,'9. List &amp; Calc'!$F$154:$G$156,2,FALSE)),
"")</f>
        <v>6</v>
      </c>
      <c r="L18" s="65"/>
      <c r="M18" s="65"/>
      <c r="N18" s="213">
        <v>2</v>
      </c>
      <c r="O18" s="213"/>
      <c r="P18" s="206">
        <f>IF(D18="", "", VLOOKUP(D18, '9. List &amp; Calc'!$E$159:$G$162, 3, FALSE))</f>
        <v>120000</v>
      </c>
      <c r="Q18" s="206">
        <f>IF(E18="", "", VLOOKUP(E18, '9. List &amp; Calc'!$E$165:$G$168, 3, FALSE))</f>
        <v>120000</v>
      </c>
      <c r="R18" s="213">
        <f>IF(F18="", "", VLOOKUP(F18, '9. List &amp; Calc'!$E$171:$G$174, 3, FALSE))</f>
        <v>240</v>
      </c>
      <c r="S18" s="214">
        <f>IF(G18="", "", VLOOKUP(G18, '9. List &amp; Calc'!$E$177:$G$180, 3, FALSE))</f>
        <v>0.5</v>
      </c>
    </row>
    <row r="19" spans="2:19" ht="39.950000000000003" customHeight="1" x14ac:dyDescent="0.2">
      <c r="B19" s="229">
        <v>13</v>
      </c>
      <c r="C19" s="33" t="str">
        <f>IF('5. Initiative List'!C18 = "", "", '5. Initiative List'!C18)</f>
        <v>Integrate Patch Management &amp; Vulnerability Scanning Automation</v>
      </c>
      <c r="D19" s="211" t="s">
        <v>10</v>
      </c>
      <c r="E19" s="211" t="s">
        <v>14</v>
      </c>
      <c r="F19" s="208" t="s">
        <v>12</v>
      </c>
      <c r="G19" s="208" t="s">
        <v>12</v>
      </c>
      <c r="H19" s="209">
        <f>IFERROR(
SUM(VLOOKUP(D19,'9. List &amp; Calc'!$E$159:$G$162,2,FALSE),VLOOKUP(E19,'9. List &amp; Calc'!$E$164:$F$168,2,FALSE),VLOOKUP('6. Prioritization'!F19,'9. List &amp; Calc'!$E$171:$F$174,2,FALSE),VLOOKUP('6. Prioritization'!G19,'9. List &amp; Calc'!$E$177:$F$180,2,FALSE)),
"")</f>
        <v>8</v>
      </c>
      <c r="I19" s="210" t="str">
        <f>IF(C19="", "", '9. List &amp; Calc'!F195)</f>
        <v>High - Supports multiple priority opportunities</v>
      </c>
      <c r="J19" s="211" t="str">
        <f>IF(C19="", "", '9. List &amp; Calc'!G195)</f>
        <v>Medium - Mitigates a priority threat</v>
      </c>
      <c r="K19" s="212">
        <f>IFERROR(
SUM(VLOOKUP(I19,'9. List &amp; Calc'!$F$149:$G$151,2,FALSE),VLOOKUP(J19,'9. List &amp; Calc'!$F$154:$G$156,2,FALSE)),
"")</f>
        <v>5</v>
      </c>
      <c r="L19" s="65"/>
      <c r="M19" s="65"/>
      <c r="N19" s="213">
        <v>1</v>
      </c>
      <c r="O19" s="213"/>
      <c r="P19" s="206">
        <f>IF(D19="", "", VLOOKUP(D19, '9. List &amp; Calc'!$E$159:$G$162, 3, FALSE))</f>
        <v>120000</v>
      </c>
      <c r="Q19" s="206">
        <f>IF(E19="", "", VLOOKUP(E19, '9. List &amp; Calc'!$E$165:$G$168, 3, FALSE))</f>
        <v>5000</v>
      </c>
      <c r="R19" s="213">
        <f>IF(F19="", "", VLOOKUP(F19, '9. List &amp; Calc'!$E$171:$G$174, 3, FALSE))</f>
        <v>120</v>
      </c>
      <c r="S19" s="214">
        <f>IF(G19="", "", VLOOKUP(G19, '9. List &amp; Calc'!$E$177:$G$180, 3, FALSE))</f>
        <v>0.25</v>
      </c>
    </row>
    <row r="20" spans="2:19" ht="39.950000000000003" customHeight="1" x14ac:dyDescent="0.2">
      <c r="B20" s="228">
        <v>14</v>
      </c>
      <c r="C20" s="225" t="str">
        <f>IF('5. Initiative List'!C19 = "", "", '5. Initiative List'!C19)</f>
        <v>Launch Responsible Disclosure &amp; Bug Bounty Program</v>
      </c>
      <c r="D20" s="211" t="s">
        <v>14</v>
      </c>
      <c r="E20" s="211" t="s">
        <v>14</v>
      </c>
      <c r="F20" s="208" t="s">
        <v>14</v>
      </c>
      <c r="G20" s="208" t="s">
        <v>14</v>
      </c>
      <c r="H20" s="209">
        <f>IFERROR(
SUM(VLOOKUP(D20,'9. List &amp; Calc'!$E$159:$G$162,2,FALSE),VLOOKUP(E20,'9. List &amp; Calc'!$E$164:$F$168,2,FALSE),VLOOKUP('6. Prioritization'!F20,'9. List &amp; Calc'!$E$171:$F$174,2,FALSE),VLOOKUP('6. Prioritization'!G20,'9. List &amp; Calc'!$E$177:$F$180,2,FALSE)),
"")</f>
        <v>4</v>
      </c>
      <c r="I20" s="210" t="str">
        <f>IF(C20="", "", '9. List &amp; Calc'!F196)</f>
        <v>Medium - Supports a priority opportunity</v>
      </c>
      <c r="J20" s="211" t="str">
        <f>IF(C20="", "", '9. List &amp; Calc'!G196)</f>
        <v>Medium - Mitigates a priority threat</v>
      </c>
      <c r="K20" s="212">
        <f>IFERROR(
SUM(VLOOKUP(I20,'9. List &amp; Calc'!$F$149:$G$151,2,FALSE),VLOOKUP(J20,'9. List &amp; Calc'!$F$154:$G$156,2,FALSE)),
"")</f>
        <v>4</v>
      </c>
      <c r="L20" s="65"/>
      <c r="M20" s="65"/>
      <c r="N20" s="213">
        <v>3</v>
      </c>
      <c r="O20" s="213"/>
      <c r="P20" s="206">
        <f>IF(D20="", "", VLOOKUP(D20, '9. List &amp; Calc'!$E$159:$G$162, 3, FALSE))</f>
        <v>5000</v>
      </c>
      <c r="Q20" s="206">
        <f>IF(E20="", "", VLOOKUP(E20, '9. List &amp; Calc'!$E$165:$G$168, 3, FALSE))</f>
        <v>5000</v>
      </c>
      <c r="R20" s="213">
        <f>IF(F20="", "", VLOOKUP(F20, '9. List &amp; Calc'!$E$171:$G$174, 3, FALSE))</f>
        <v>30</v>
      </c>
      <c r="S20" s="214">
        <f>IF(G20="", "", VLOOKUP(G20, '9. List &amp; Calc'!$E$177:$G$180, 3, FALSE))</f>
        <v>0.05</v>
      </c>
    </row>
    <row r="21" spans="2:19" ht="39.950000000000003" customHeight="1" x14ac:dyDescent="0.2">
      <c r="B21" s="229">
        <v>15</v>
      </c>
      <c r="C21" s="33" t="str">
        <f>IF('5. Initiative List'!C20 = "", "", '5. Initiative List'!C20)</f>
        <v>Develop AI Risk Governance Framework</v>
      </c>
      <c r="D21" s="211" t="s">
        <v>14</v>
      </c>
      <c r="E21" s="211" t="s">
        <v>14</v>
      </c>
      <c r="F21" s="208" t="s">
        <v>12</v>
      </c>
      <c r="G21" s="208" t="s">
        <v>12</v>
      </c>
      <c r="H21" s="209">
        <f>IFERROR(
SUM(VLOOKUP(D21,'9. List &amp; Calc'!$E$159:$G$162,2,FALSE),VLOOKUP(E21,'9. List &amp; Calc'!$E$164:$F$168,2,FALSE),VLOOKUP('6. Prioritization'!F21,'9. List &amp; Calc'!$E$171:$F$174,2,FALSE),VLOOKUP('6. Prioritization'!G21,'9. List &amp; Calc'!$E$177:$F$180,2,FALSE)),
"")</f>
        <v>6</v>
      </c>
      <c r="I21" s="210" t="str">
        <f>IF(C21="", "", '9. List &amp; Calc'!F197)</f>
        <v>Low - Other</v>
      </c>
      <c r="J21" s="211" t="str">
        <f>IF(C21="", "", '9. List &amp; Calc'!G197)</f>
        <v>Low - Foundational good practice</v>
      </c>
      <c r="K21" s="212">
        <f>IFERROR(
SUM(VLOOKUP(I21,'9. List &amp; Calc'!$F$149:$G$151,2,FALSE),VLOOKUP(J21,'9. List &amp; Calc'!$F$154:$G$156,2,FALSE)),
"")</f>
        <v>2</v>
      </c>
      <c r="L21" s="65"/>
      <c r="M21" s="65"/>
      <c r="N21" s="213">
        <v>4</v>
      </c>
      <c r="O21" s="213"/>
      <c r="P21" s="206">
        <f>IF(D21="", "", VLOOKUP(D21, '9. List &amp; Calc'!$E$159:$G$162, 3, FALSE))</f>
        <v>5000</v>
      </c>
      <c r="Q21" s="206">
        <f>IF(E21="", "", VLOOKUP(E21, '9. List &amp; Calc'!$E$165:$G$168, 3, FALSE))</f>
        <v>5000</v>
      </c>
      <c r="R21" s="213">
        <f>IF(F21="", "", VLOOKUP(F21, '9. List &amp; Calc'!$E$171:$G$174, 3, FALSE))</f>
        <v>120</v>
      </c>
      <c r="S21" s="214">
        <f>IF(G21="", "", VLOOKUP(G21, '9. List &amp; Calc'!$E$177:$G$180, 3, FALSE))</f>
        <v>0.25</v>
      </c>
    </row>
    <row r="22" spans="2:19" ht="39.950000000000003" customHeight="1" x14ac:dyDescent="0.2">
      <c r="B22" s="228">
        <v>16</v>
      </c>
      <c r="C22" s="225" t="str">
        <f>IF('5. Initiative List'!C21 = "", "", '5. Initiative List'!C21)</f>
        <v/>
      </c>
      <c r="D22" s="211"/>
      <c r="E22" s="211"/>
      <c r="F22" s="208"/>
      <c r="G22" s="208"/>
      <c r="H22" s="209" t="str">
        <f>IFERROR(
SUM(VLOOKUP(D22,'9. List &amp; Calc'!$E$159:$G$162,2,FALSE),VLOOKUP(E22,'9. List &amp; Calc'!$E$164:$F$168,2,FALSE),VLOOKUP('6. Prioritization'!F22,'9. List &amp; Calc'!$E$171:$F$174,2,FALSE),VLOOKUP('6. Prioritization'!G22,'9. List &amp; Calc'!$E$177:$F$180,2,FALSE)),
"")</f>
        <v/>
      </c>
      <c r="I22" s="210" t="str">
        <f>IF(C22="", "", '9. List &amp; Calc'!F198)</f>
        <v/>
      </c>
      <c r="J22" s="211" t="str">
        <f>IF(C22="", "", '9. List &amp; Calc'!G198)</f>
        <v/>
      </c>
      <c r="K22" s="212" t="str">
        <f>IFERROR(
SUM(VLOOKUP(I22,'9. List &amp; Calc'!$F$149:$G$151,2,FALSE),VLOOKUP(J22,'9. List &amp; Calc'!$F$154:$G$156,2,FALSE)),
"")</f>
        <v/>
      </c>
      <c r="L22" s="65"/>
      <c r="M22" s="65"/>
      <c r="N22" s="213"/>
      <c r="O22" s="213"/>
      <c r="P22" s="206" t="str">
        <f>IF(D22="", "", VLOOKUP(D22, '9. List &amp; Calc'!$E$159:$G$162, 3, FALSE))</f>
        <v/>
      </c>
      <c r="Q22" s="206" t="str">
        <f>IF(E22="", "", VLOOKUP(E22, '9. List &amp; Calc'!$E$165:$G$168, 3, FALSE))</f>
        <v/>
      </c>
      <c r="R22" s="213" t="str">
        <f>IF(F22="", "", VLOOKUP(F22, '9. List &amp; Calc'!$E$171:$G$174, 3, FALSE))</f>
        <v/>
      </c>
      <c r="S22" s="214" t="str">
        <f>IF(G22="", "", VLOOKUP(G22, '9. List &amp; Calc'!$E$177:$G$180, 3, FALSE))</f>
        <v/>
      </c>
    </row>
    <row r="23" spans="2:19" ht="39.950000000000003" customHeight="1" x14ac:dyDescent="0.2">
      <c r="B23" s="229">
        <v>17</v>
      </c>
      <c r="C23" s="33" t="str">
        <f>IF('5. Initiative List'!C22 = "", "", '5. Initiative List'!C22)</f>
        <v/>
      </c>
      <c r="D23" s="211"/>
      <c r="E23" s="211"/>
      <c r="F23" s="208"/>
      <c r="G23" s="208"/>
      <c r="H23" s="209" t="str">
        <f>IFERROR(
SUM(VLOOKUP(D23,'9. List &amp; Calc'!$E$159:$G$162,2,FALSE),VLOOKUP(E23,'9. List &amp; Calc'!$E$164:$F$168,2,FALSE),VLOOKUP('6. Prioritization'!F23,'9. List &amp; Calc'!$E$171:$F$174,2,FALSE),VLOOKUP('6. Prioritization'!G23,'9. List &amp; Calc'!$E$177:$F$180,2,FALSE)),
"")</f>
        <v/>
      </c>
      <c r="I23" s="210" t="str">
        <f>IF(C23="", "", '9. List &amp; Calc'!F199)</f>
        <v/>
      </c>
      <c r="J23" s="211" t="str">
        <f>IF(C23="", "", '9. List &amp; Calc'!G199)</f>
        <v/>
      </c>
      <c r="K23" s="212" t="str">
        <f>IFERROR(
SUM(VLOOKUP(I23,'9. List &amp; Calc'!$F$149:$G$151,2,FALSE),VLOOKUP(J23,'9. List &amp; Calc'!$F$154:$G$156,2,FALSE)),
"")</f>
        <v/>
      </c>
      <c r="L23" s="65"/>
      <c r="M23" s="65"/>
      <c r="N23" s="213"/>
      <c r="O23" s="213"/>
      <c r="P23" s="206" t="str">
        <f>IF(D23="", "", VLOOKUP(D23, '9. List &amp; Calc'!$E$159:$G$162, 3, FALSE))</f>
        <v/>
      </c>
      <c r="Q23" s="206" t="str">
        <f>IF(E23="", "", VLOOKUP(E23, '9. List &amp; Calc'!$E$165:$G$168, 3, FALSE))</f>
        <v/>
      </c>
      <c r="R23" s="213" t="str">
        <f>IF(F23="", "", VLOOKUP(F23, '9. List &amp; Calc'!$E$171:$G$174, 3, FALSE))</f>
        <v/>
      </c>
      <c r="S23" s="214" t="str">
        <f>IF(G23="", "", VLOOKUP(G23, '9. List &amp; Calc'!$E$177:$G$180, 3, FALSE))</f>
        <v/>
      </c>
    </row>
    <row r="24" spans="2:19" ht="39.950000000000003" customHeight="1" x14ac:dyDescent="0.2">
      <c r="B24" s="228">
        <v>18</v>
      </c>
      <c r="C24" s="225" t="str">
        <f>IF('5. Initiative List'!C23 = "", "", '5. Initiative List'!C23)</f>
        <v/>
      </c>
      <c r="D24" s="211"/>
      <c r="E24" s="211"/>
      <c r="F24" s="208"/>
      <c r="G24" s="208"/>
      <c r="H24" s="209" t="str">
        <f>IFERROR(
SUM(VLOOKUP(D24,'9. List &amp; Calc'!$E$159:$G$162,2,FALSE),VLOOKUP(E24,'9. List &amp; Calc'!$E$164:$F$168,2,FALSE),VLOOKUP('6. Prioritization'!F24,'9. List &amp; Calc'!$E$171:$F$174,2,FALSE),VLOOKUP('6. Prioritization'!G24,'9. List &amp; Calc'!$E$177:$F$180,2,FALSE)),
"")</f>
        <v/>
      </c>
      <c r="I24" s="210" t="str">
        <f>IF(C24="", "", '9. List &amp; Calc'!F200)</f>
        <v/>
      </c>
      <c r="J24" s="211" t="str">
        <f>IF(C24="", "", '9. List &amp; Calc'!G200)</f>
        <v/>
      </c>
      <c r="K24" s="212" t="str">
        <f>IFERROR(
SUM(VLOOKUP(I24,'9. List &amp; Calc'!$F$149:$G$151,2,FALSE),VLOOKUP(J24,'9. List &amp; Calc'!$F$154:$G$156,2,FALSE)),
"")</f>
        <v/>
      </c>
      <c r="L24" s="65"/>
      <c r="M24" s="65"/>
      <c r="N24" s="213"/>
      <c r="O24" s="213"/>
      <c r="P24" s="206" t="str">
        <f>IF(D24="", "", VLOOKUP(D24, '9. List &amp; Calc'!$E$159:$G$162, 3, FALSE))</f>
        <v/>
      </c>
      <c r="Q24" s="206" t="str">
        <f>IF(E24="", "", VLOOKUP(E24, '9. List &amp; Calc'!$E$165:$G$168, 3, FALSE))</f>
        <v/>
      </c>
      <c r="R24" s="213" t="str">
        <f>IF(F24="", "", VLOOKUP(F24, '9. List &amp; Calc'!$E$171:$G$174, 3, FALSE))</f>
        <v/>
      </c>
      <c r="S24" s="214" t="str">
        <f>IF(G24="", "", VLOOKUP(G24, '9. List &amp; Calc'!$E$177:$G$180, 3, FALSE))</f>
        <v/>
      </c>
    </row>
    <row r="25" spans="2:19" ht="39.950000000000003" customHeight="1" x14ac:dyDescent="0.2">
      <c r="B25" s="229">
        <v>19</v>
      </c>
      <c r="C25" s="33" t="str">
        <f>IF('5. Initiative List'!C24 = "", "", '5. Initiative List'!C24)</f>
        <v/>
      </c>
      <c r="D25" s="211"/>
      <c r="E25" s="211"/>
      <c r="F25" s="208"/>
      <c r="G25" s="208"/>
      <c r="H25" s="209" t="str">
        <f>IFERROR(
SUM(VLOOKUP(D25,'9. List &amp; Calc'!$E$159:$G$162,2,FALSE),VLOOKUP(E25,'9. List &amp; Calc'!$E$164:$F$168,2,FALSE),VLOOKUP('6. Prioritization'!F25,'9. List &amp; Calc'!$E$171:$F$174,2,FALSE),VLOOKUP('6. Prioritization'!G25,'9. List &amp; Calc'!$E$177:$F$180,2,FALSE)),
"")</f>
        <v/>
      </c>
      <c r="I25" s="210" t="str">
        <f>IF(C25="", "", '9. List &amp; Calc'!F201)</f>
        <v/>
      </c>
      <c r="J25" s="211" t="str">
        <f>IF(C25="", "", '9. List &amp; Calc'!G201)</f>
        <v/>
      </c>
      <c r="K25" s="212" t="str">
        <f>IFERROR(
SUM(VLOOKUP(I25,'9. List &amp; Calc'!$F$149:$G$151,2,FALSE),VLOOKUP(J25,'9. List &amp; Calc'!$F$154:$G$156,2,FALSE)),
"")</f>
        <v/>
      </c>
      <c r="L25" s="65"/>
      <c r="M25" s="65"/>
      <c r="N25" s="213"/>
      <c r="O25" s="213"/>
      <c r="P25" s="206" t="str">
        <f>IF(D25="", "", VLOOKUP(D25, '9. List &amp; Calc'!$E$159:$G$162, 3, FALSE))</f>
        <v/>
      </c>
      <c r="Q25" s="206" t="str">
        <f>IF(E25="", "", VLOOKUP(E25, '9. List &amp; Calc'!$E$165:$G$168, 3, FALSE))</f>
        <v/>
      </c>
      <c r="R25" s="213" t="str">
        <f>IF(F25="", "", VLOOKUP(F25, '9. List &amp; Calc'!$E$171:$G$174, 3, FALSE))</f>
        <v/>
      </c>
      <c r="S25" s="214" t="str">
        <f>IF(G25="", "", VLOOKUP(G25, '9. List &amp; Calc'!$E$177:$G$180, 3, FALSE))</f>
        <v/>
      </c>
    </row>
    <row r="26" spans="2:19" ht="39.950000000000003" customHeight="1" x14ac:dyDescent="0.2">
      <c r="B26" s="228">
        <v>20</v>
      </c>
      <c r="C26" s="225" t="str">
        <f>IF('5. Initiative List'!C25 = "", "", '5. Initiative List'!C25)</f>
        <v/>
      </c>
      <c r="D26" s="211"/>
      <c r="E26" s="211"/>
      <c r="F26" s="208"/>
      <c r="G26" s="208"/>
      <c r="H26" s="209" t="str">
        <f>IFERROR(
SUM(VLOOKUP(D26,'9. List &amp; Calc'!$E$159:$G$162,2,FALSE),VLOOKUP(E26,'9. List &amp; Calc'!$E$164:$F$168,2,FALSE),VLOOKUP('6. Prioritization'!F26,'9. List &amp; Calc'!$E$171:$F$174,2,FALSE),VLOOKUP('6. Prioritization'!G26,'9. List &amp; Calc'!$E$177:$F$180,2,FALSE)),
"")</f>
        <v/>
      </c>
      <c r="I26" s="210" t="str">
        <f>IF(C26="", "", '9. List &amp; Calc'!F202)</f>
        <v/>
      </c>
      <c r="J26" s="211" t="str">
        <f>IF(C26="", "", '9. List &amp; Calc'!G202)</f>
        <v/>
      </c>
      <c r="K26" s="212" t="str">
        <f>IFERROR(
SUM(VLOOKUP(I26,'9. List &amp; Calc'!$F$149:$G$151,2,FALSE),VLOOKUP(J26,'9. List &amp; Calc'!$F$154:$G$156,2,FALSE)),
"")</f>
        <v/>
      </c>
      <c r="L26" s="65"/>
      <c r="M26" s="65"/>
      <c r="N26" s="213"/>
      <c r="O26" s="213"/>
      <c r="P26" s="206" t="str">
        <f>IF(D26="", "", VLOOKUP(D26, '9. List &amp; Calc'!$E$159:$G$162, 3, FALSE))</f>
        <v/>
      </c>
      <c r="Q26" s="206" t="str">
        <f>IF(E26="", "", VLOOKUP(E26, '9. List &amp; Calc'!$E$165:$G$168, 3, FALSE))</f>
        <v/>
      </c>
      <c r="R26" s="213" t="str">
        <f>IF(F26="", "", VLOOKUP(F26, '9. List &amp; Calc'!$E$171:$G$174, 3, FALSE))</f>
        <v/>
      </c>
      <c r="S26" s="214" t="str">
        <f>IF(G26="", "", VLOOKUP(G26, '9. List &amp; Calc'!$E$177:$G$180, 3, FALSE))</f>
        <v/>
      </c>
    </row>
    <row r="27" spans="2:19" ht="39.950000000000003" customHeight="1" x14ac:dyDescent="0.2">
      <c r="B27" s="229">
        <v>21</v>
      </c>
      <c r="C27" s="33" t="str">
        <f>IF('5. Initiative List'!C26 = "", "", '5. Initiative List'!C26)</f>
        <v/>
      </c>
      <c r="D27" s="211"/>
      <c r="E27" s="211"/>
      <c r="F27" s="208"/>
      <c r="G27" s="208"/>
      <c r="H27" s="209" t="str">
        <f>IFERROR(
SUM(VLOOKUP(D27,'9. List &amp; Calc'!$E$159:$G$162,2,FALSE),VLOOKUP(E27,'9. List &amp; Calc'!$E$164:$F$168,2,FALSE),VLOOKUP('6. Prioritization'!F27,'9. List &amp; Calc'!$E$171:$F$174,2,FALSE),VLOOKUP('6. Prioritization'!G27,'9. List &amp; Calc'!$E$177:$F$180,2,FALSE)),
"")</f>
        <v/>
      </c>
      <c r="I27" s="210" t="str">
        <f>IF(C27="", "", '9. List &amp; Calc'!F203)</f>
        <v/>
      </c>
      <c r="J27" s="211" t="str">
        <f>IF(C27="", "", '9. List &amp; Calc'!G203)</f>
        <v/>
      </c>
      <c r="K27" s="212" t="str">
        <f>IFERROR(
SUM(VLOOKUP(I27,'9. List &amp; Calc'!$F$149:$G$151,2,FALSE),VLOOKUP(J27,'9. List &amp; Calc'!$F$154:$G$156,2,FALSE)),
"")</f>
        <v/>
      </c>
      <c r="L27" s="65"/>
      <c r="M27" s="65"/>
      <c r="N27" s="213"/>
      <c r="O27" s="213"/>
      <c r="P27" s="206" t="str">
        <f>IF(D27="", "", VLOOKUP(D27, '9. List &amp; Calc'!$E$159:$G$162, 3, FALSE))</f>
        <v/>
      </c>
      <c r="Q27" s="206" t="str">
        <f>IF(E27="", "", VLOOKUP(E27, '9. List &amp; Calc'!$E$165:$G$168, 3, FALSE))</f>
        <v/>
      </c>
      <c r="R27" s="213" t="str">
        <f>IF(F27="", "", VLOOKUP(F27, '9. List &amp; Calc'!$E$171:$G$174, 3, FALSE))</f>
        <v/>
      </c>
      <c r="S27" s="214" t="str">
        <f>IF(G27="", "", VLOOKUP(G27, '9. List &amp; Calc'!$E$177:$G$180, 3, FALSE))</f>
        <v/>
      </c>
    </row>
    <row r="28" spans="2:19" ht="39.950000000000003" customHeight="1" x14ac:dyDescent="0.2">
      <c r="B28" s="228">
        <v>22</v>
      </c>
      <c r="C28" s="225" t="str">
        <f>IF('5. Initiative List'!C27 = "", "", '5. Initiative List'!C27)</f>
        <v/>
      </c>
      <c r="D28" s="211"/>
      <c r="E28" s="211"/>
      <c r="F28" s="208"/>
      <c r="G28" s="208"/>
      <c r="H28" s="209" t="str">
        <f>IFERROR(
SUM(VLOOKUP(D28,'9. List &amp; Calc'!$E$159:$G$162,2,FALSE),VLOOKUP(E28,'9. List &amp; Calc'!$E$164:$F$168,2,FALSE),VLOOKUP('6. Prioritization'!F28,'9. List &amp; Calc'!$E$171:$F$174,2,FALSE),VLOOKUP('6. Prioritization'!G28,'9. List &amp; Calc'!$E$177:$F$180,2,FALSE)),
"")</f>
        <v/>
      </c>
      <c r="I28" s="210" t="str">
        <f>IF(C28="", "", '9. List &amp; Calc'!F204)</f>
        <v/>
      </c>
      <c r="J28" s="211" t="str">
        <f>IF(C28="", "", '9. List &amp; Calc'!G204)</f>
        <v/>
      </c>
      <c r="K28" s="212" t="str">
        <f>IFERROR(
SUM(VLOOKUP(I28,'9. List &amp; Calc'!$F$149:$G$151,2,FALSE),VLOOKUP(J28,'9. List &amp; Calc'!$F$154:$G$156,2,FALSE)),
"")</f>
        <v/>
      </c>
      <c r="L28" s="65"/>
      <c r="M28" s="65"/>
      <c r="N28" s="213"/>
      <c r="O28" s="213"/>
      <c r="P28" s="206" t="str">
        <f>IF(D28="", "", VLOOKUP(D28, '9. List &amp; Calc'!$E$159:$G$162, 3, FALSE))</f>
        <v/>
      </c>
      <c r="Q28" s="206" t="str">
        <f>IF(E28="", "", VLOOKUP(E28, '9. List &amp; Calc'!$E$165:$G$168, 3, FALSE))</f>
        <v/>
      </c>
      <c r="R28" s="213" t="str">
        <f>IF(F28="", "", VLOOKUP(F28, '9. List &amp; Calc'!$E$171:$G$174, 3, FALSE))</f>
        <v/>
      </c>
      <c r="S28" s="214" t="str">
        <f>IF(G28="", "", VLOOKUP(G28, '9. List &amp; Calc'!$E$177:$G$180, 3, FALSE))</f>
        <v/>
      </c>
    </row>
    <row r="29" spans="2:19" ht="39.950000000000003" customHeight="1" x14ac:dyDescent="0.2">
      <c r="B29" s="229">
        <v>23</v>
      </c>
      <c r="C29" s="33" t="str">
        <f>IF('5. Initiative List'!C28 = "", "", '5. Initiative List'!C28)</f>
        <v/>
      </c>
      <c r="D29" s="211"/>
      <c r="E29" s="211"/>
      <c r="F29" s="208"/>
      <c r="G29" s="208"/>
      <c r="H29" s="209" t="str">
        <f>IFERROR(
SUM(VLOOKUP(D29,'9. List &amp; Calc'!$E$159:$G$162,2,FALSE),VLOOKUP(E29,'9. List &amp; Calc'!$E$164:$F$168,2,FALSE),VLOOKUP('6. Prioritization'!F29,'9. List &amp; Calc'!$E$171:$F$174,2,FALSE),VLOOKUP('6. Prioritization'!G29,'9. List &amp; Calc'!$E$177:$F$180,2,FALSE)),
"")</f>
        <v/>
      </c>
      <c r="I29" s="210" t="str">
        <f>IF(C29="", "", '9. List &amp; Calc'!F205)</f>
        <v/>
      </c>
      <c r="J29" s="211" t="str">
        <f>IF(C29="", "", '9. List &amp; Calc'!G205)</f>
        <v/>
      </c>
      <c r="K29" s="212" t="str">
        <f>IFERROR(
SUM(VLOOKUP(I29,'9. List &amp; Calc'!$F$149:$G$151,2,FALSE),VLOOKUP(J29,'9. List &amp; Calc'!$F$154:$G$156,2,FALSE)),
"")</f>
        <v/>
      </c>
      <c r="L29" s="65"/>
      <c r="M29" s="65"/>
      <c r="N29" s="213"/>
      <c r="O29" s="213"/>
      <c r="P29" s="206" t="str">
        <f>IF(D29="", "", VLOOKUP(D29, '9. List &amp; Calc'!$E$159:$G$162, 3, FALSE))</f>
        <v/>
      </c>
      <c r="Q29" s="206" t="str">
        <f>IF(E29="", "", VLOOKUP(E29, '9. List &amp; Calc'!$E$165:$G$168, 3, FALSE))</f>
        <v/>
      </c>
      <c r="R29" s="213" t="str">
        <f>IF(F29="", "", VLOOKUP(F29, '9. List &amp; Calc'!$E$171:$G$174, 3, FALSE))</f>
        <v/>
      </c>
      <c r="S29" s="214" t="str">
        <f>IF(G29="", "", VLOOKUP(G29, '9. List &amp; Calc'!$E$177:$G$180, 3, FALSE))</f>
        <v/>
      </c>
    </row>
    <row r="30" spans="2:19" ht="39.950000000000003" customHeight="1" x14ac:dyDescent="0.2">
      <c r="B30" s="228">
        <v>24</v>
      </c>
      <c r="C30" s="225" t="str">
        <f>IF('5. Initiative List'!C29 = "", "", '5. Initiative List'!C29)</f>
        <v/>
      </c>
      <c r="D30" s="211"/>
      <c r="E30" s="211"/>
      <c r="F30" s="208"/>
      <c r="G30" s="208"/>
      <c r="H30" s="209" t="str">
        <f>IFERROR(
SUM(VLOOKUP(D30,'9. List &amp; Calc'!$E$159:$G$162,2,FALSE),VLOOKUP(E30,'9. List &amp; Calc'!$E$164:$F$168,2,FALSE),VLOOKUP('6. Prioritization'!F30,'9. List &amp; Calc'!$E$171:$F$174,2,FALSE),VLOOKUP('6. Prioritization'!G30,'9. List &amp; Calc'!$E$177:$F$180,2,FALSE)),
"")</f>
        <v/>
      </c>
      <c r="I30" s="210" t="str">
        <f>IF(C30="", "", '9. List &amp; Calc'!F206)</f>
        <v/>
      </c>
      <c r="J30" s="211" t="str">
        <f>IF(C30="", "", '9. List &amp; Calc'!G206)</f>
        <v/>
      </c>
      <c r="K30" s="212" t="str">
        <f>IFERROR(
SUM(VLOOKUP(I30,'9. List &amp; Calc'!$F$149:$G$151,2,FALSE),VLOOKUP(J30,'9. List &amp; Calc'!$F$154:$G$156,2,FALSE)),
"")</f>
        <v/>
      </c>
      <c r="L30" s="65"/>
      <c r="M30" s="65"/>
      <c r="N30" s="213"/>
      <c r="O30" s="213"/>
      <c r="P30" s="206" t="str">
        <f>IF(D30="", "", VLOOKUP(D30, '9. List &amp; Calc'!$E$159:$G$162, 3, FALSE))</f>
        <v/>
      </c>
      <c r="Q30" s="206" t="str">
        <f>IF(E30="", "", VLOOKUP(E30, '9. List &amp; Calc'!$E$165:$G$168, 3, FALSE))</f>
        <v/>
      </c>
      <c r="R30" s="213" t="str">
        <f>IF(F30="", "", VLOOKUP(F30, '9. List &amp; Calc'!$E$171:$G$174, 3, FALSE))</f>
        <v/>
      </c>
      <c r="S30" s="214" t="str">
        <f>IF(G30="", "", VLOOKUP(G30, '9. List &amp; Calc'!$E$177:$G$180, 3, FALSE))</f>
        <v/>
      </c>
    </row>
    <row r="31" spans="2:19" ht="39.950000000000003" customHeight="1" x14ac:dyDescent="0.2">
      <c r="B31" s="229">
        <v>25</v>
      </c>
      <c r="C31" s="33" t="str">
        <f>IF('5. Initiative List'!C30 = "", "", '5. Initiative List'!C30)</f>
        <v/>
      </c>
      <c r="D31" s="211"/>
      <c r="E31" s="211"/>
      <c r="F31" s="208"/>
      <c r="G31" s="208"/>
      <c r="H31" s="209" t="str">
        <f>IFERROR(
SUM(VLOOKUP(D31,'9. List &amp; Calc'!$E$159:$G$162,2,FALSE),VLOOKUP(E31,'9. List &amp; Calc'!$E$164:$F$168,2,FALSE),VLOOKUP('6. Prioritization'!F31,'9. List &amp; Calc'!$E$171:$F$174,2,FALSE),VLOOKUP('6. Prioritization'!G31,'9. List &amp; Calc'!$E$177:$F$180,2,FALSE)),
"")</f>
        <v/>
      </c>
      <c r="I31" s="210" t="str">
        <f>IF(C31="", "", '9. List &amp; Calc'!F207)</f>
        <v/>
      </c>
      <c r="J31" s="211" t="str">
        <f>IF(C31="", "", '9. List &amp; Calc'!G207)</f>
        <v/>
      </c>
      <c r="K31" s="212" t="str">
        <f>IFERROR(
SUM(VLOOKUP(I31,'9. List &amp; Calc'!$F$149:$G$151,2,FALSE),VLOOKUP(J31,'9. List &amp; Calc'!$F$154:$G$156,2,FALSE)),
"")</f>
        <v/>
      </c>
      <c r="L31" s="65"/>
      <c r="M31" s="65"/>
      <c r="N31" s="213"/>
      <c r="O31" s="213"/>
      <c r="P31" s="206" t="str">
        <f>IF(D31="", "", VLOOKUP(D31, '9. List &amp; Calc'!$E$159:$G$162, 3, FALSE))</f>
        <v/>
      </c>
      <c r="Q31" s="206" t="str">
        <f>IF(E31="", "", VLOOKUP(E31, '9. List &amp; Calc'!$E$165:$G$168, 3, FALSE))</f>
        <v/>
      </c>
      <c r="R31" s="213" t="str">
        <f>IF(F31="", "", VLOOKUP(F31, '9. List &amp; Calc'!$E$171:$G$174, 3, FALSE))</f>
        <v/>
      </c>
      <c r="S31" s="214" t="str">
        <f>IF(G31="", "", VLOOKUP(G31, '9. List &amp; Calc'!$E$177:$G$180, 3, FALSE))</f>
        <v/>
      </c>
    </row>
    <row r="32" spans="2:19" ht="39.950000000000003" customHeight="1" x14ac:dyDescent="0.2">
      <c r="B32" s="228">
        <v>26</v>
      </c>
      <c r="C32" s="225" t="str">
        <f>IF('5. Initiative List'!C31 = "", "", '5. Initiative List'!C31)</f>
        <v/>
      </c>
      <c r="D32" s="211"/>
      <c r="E32" s="211"/>
      <c r="F32" s="208"/>
      <c r="G32" s="208"/>
      <c r="H32" s="209" t="str">
        <f>IFERROR(
SUM(VLOOKUP(D32,'9. List &amp; Calc'!$E$159:$G$162,2,FALSE),VLOOKUP(E32,'9. List &amp; Calc'!$E$164:$F$168,2,FALSE),VLOOKUP('6. Prioritization'!F32,'9. List &amp; Calc'!$E$171:$F$174,2,FALSE),VLOOKUP('6. Prioritization'!G32,'9. List &amp; Calc'!$E$177:$F$180,2,FALSE)),
"")</f>
        <v/>
      </c>
      <c r="I32" s="210" t="str">
        <f>IF(C32="", "", '9. List &amp; Calc'!F208)</f>
        <v/>
      </c>
      <c r="J32" s="211" t="str">
        <f>IF(C32="", "", '9. List &amp; Calc'!G208)</f>
        <v/>
      </c>
      <c r="K32" s="212" t="str">
        <f>IFERROR(
SUM(VLOOKUP(I32,'9. List &amp; Calc'!$F$149:$G$151,2,FALSE),VLOOKUP(J32,'9. List &amp; Calc'!$F$154:$G$156,2,FALSE)),
"")</f>
        <v/>
      </c>
      <c r="L32" s="65"/>
      <c r="M32" s="65"/>
      <c r="N32" s="213"/>
      <c r="O32" s="213"/>
      <c r="P32" s="206" t="str">
        <f>IF(D32="", "", VLOOKUP(D32, '9. List &amp; Calc'!$E$159:$G$162, 3, FALSE))</f>
        <v/>
      </c>
      <c r="Q32" s="206" t="str">
        <f>IF(E32="", "", VLOOKUP(E32, '9. List &amp; Calc'!$E$165:$G$168, 3, FALSE))</f>
        <v/>
      </c>
      <c r="R32" s="213" t="str">
        <f>IF(F32="", "", VLOOKUP(F32, '9. List &amp; Calc'!$E$171:$G$174, 3, FALSE))</f>
        <v/>
      </c>
      <c r="S32" s="214" t="str">
        <f>IF(G32="", "", VLOOKUP(G32, '9. List &amp; Calc'!$E$177:$G$180, 3, FALSE))</f>
        <v/>
      </c>
    </row>
    <row r="33" spans="2:19" ht="39.950000000000003" customHeight="1" x14ac:dyDescent="0.2">
      <c r="B33" s="229">
        <v>27</v>
      </c>
      <c r="C33" s="33" t="str">
        <f>IF('5. Initiative List'!C32 = "", "", '5. Initiative List'!C32)</f>
        <v/>
      </c>
      <c r="D33" s="211"/>
      <c r="E33" s="211"/>
      <c r="F33" s="208"/>
      <c r="G33" s="208"/>
      <c r="H33" s="209" t="str">
        <f>IFERROR(
SUM(VLOOKUP(D33,'9. List &amp; Calc'!$E$159:$G$162,2,FALSE),VLOOKUP(E33,'9. List &amp; Calc'!$E$164:$F$168,2,FALSE),VLOOKUP('6. Prioritization'!F33,'9. List &amp; Calc'!$E$171:$F$174,2,FALSE),VLOOKUP('6. Prioritization'!G33,'9. List &amp; Calc'!$E$177:$F$180,2,FALSE)),
"")</f>
        <v/>
      </c>
      <c r="I33" s="210" t="str">
        <f>IF(C33="", "", '9. List &amp; Calc'!F209)</f>
        <v/>
      </c>
      <c r="J33" s="211" t="str">
        <f>IF(C33="", "", '9. List &amp; Calc'!G209)</f>
        <v/>
      </c>
      <c r="K33" s="212" t="str">
        <f>IFERROR(
SUM(VLOOKUP(I33,'9. List &amp; Calc'!$F$149:$G$151,2,FALSE),VLOOKUP(J33,'9. List &amp; Calc'!$F$154:$G$156,2,FALSE)),
"")</f>
        <v/>
      </c>
      <c r="L33" s="65"/>
      <c r="M33" s="65"/>
      <c r="N33" s="213"/>
      <c r="O33" s="213"/>
      <c r="P33" s="206" t="str">
        <f>IF(D33="", "", VLOOKUP(D33, '9. List &amp; Calc'!$E$159:$G$162, 3, FALSE))</f>
        <v/>
      </c>
      <c r="Q33" s="206" t="str">
        <f>IF(E33="", "", VLOOKUP(E33, '9. List &amp; Calc'!$E$165:$G$168, 3, FALSE))</f>
        <v/>
      </c>
      <c r="R33" s="213" t="str">
        <f>IF(F33="", "", VLOOKUP(F33, '9. List &amp; Calc'!$E$171:$G$174, 3, FALSE))</f>
        <v/>
      </c>
      <c r="S33" s="214" t="str">
        <f>IF(G33="", "", VLOOKUP(G33, '9. List &amp; Calc'!$E$177:$G$180, 3, FALSE))</f>
        <v/>
      </c>
    </row>
    <row r="34" spans="2:19" ht="39.950000000000003" customHeight="1" x14ac:dyDescent="0.2">
      <c r="B34" s="228">
        <v>28</v>
      </c>
      <c r="C34" s="225" t="str">
        <f>IF('5. Initiative List'!C33 = "", "", '5. Initiative List'!C33)</f>
        <v/>
      </c>
      <c r="D34" s="211"/>
      <c r="E34" s="211"/>
      <c r="F34" s="208"/>
      <c r="G34" s="208"/>
      <c r="H34" s="209" t="str">
        <f>IFERROR(
SUM(VLOOKUP(D34,'9. List &amp; Calc'!$E$159:$G$162,2,FALSE),VLOOKUP(E34,'9. List &amp; Calc'!$E$164:$F$168,2,FALSE),VLOOKUP('6. Prioritization'!F34,'9. List &amp; Calc'!$E$171:$F$174,2,FALSE),VLOOKUP('6. Prioritization'!G34,'9. List &amp; Calc'!$E$177:$F$180,2,FALSE)),
"")</f>
        <v/>
      </c>
      <c r="I34" s="210" t="str">
        <f>IF(C34="", "", '9. List &amp; Calc'!F210)</f>
        <v/>
      </c>
      <c r="J34" s="211" t="str">
        <f>IF(C34="", "", '9. List &amp; Calc'!G210)</f>
        <v/>
      </c>
      <c r="K34" s="212" t="str">
        <f>IFERROR(
SUM(VLOOKUP(I34,'9. List &amp; Calc'!$F$149:$G$151,2,FALSE),VLOOKUP(J34,'9. List &amp; Calc'!$F$154:$G$156,2,FALSE)),
"")</f>
        <v/>
      </c>
      <c r="L34" s="65"/>
      <c r="M34" s="65"/>
      <c r="N34" s="213"/>
      <c r="O34" s="213"/>
      <c r="P34" s="206" t="str">
        <f>IF(D34="", "", VLOOKUP(D34, '9. List &amp; Calc'!$E$159:$G$162, 3, FALSE))</f>
        <v/>
      </c>
      <c r="Q34" s="206" t="str">
        <f>IF(E34="", "", VLOOKUP(E34, '9. List &amp; Calc'!$E$165:$G$168, 3, FALSE))</f>
        <v/>
      </c>
      <c r="R34" s="213" t="str">
        <f>IF(F34="", "", VLOOKUP(F34, '9. List &amp; Calc'!$E$171:$G$174, 3, FALSE))</f>
        <v/>
      </c>
      <c r="S34" s="214" t="str">
        <f>IF(G34="", "", VLOOKUP(G34, '9. List &amp; Calc'!$E$177:$G$180, 3, FALSE))</f>
        <v/>
      </c>
    </row>
    <row r="35" spans="2:19" ht="39.950000000000003" customHeight="1" x14ac:dyDescent="0.2">
      <c r="B35" s="229">
        <v>29</v>
      </c>
      <c r="C35" s="33" t="str">
        <f>IF('5. Initiative List'!C34 = "", "", '5. Initiative List'!C34)</f>
        <v/>
      </c>
      <c r="D35" s="211"/>
      <c r="E35" s="211"/>
      <c r="F35" s="208"/>
      <c r="G35" s="208"/>
      <c r="H35" s="209" t="str">
        <f>IFERROR(
SUM(VLOOKUP(D35,'9. List &amp; Calc'!$E$159:$G$162,2,FALSE),VLOOKUP(E35,'9. List &amp; Calc'!$E$164:$F$168,2,FALSE),VLOOKUP('6. Prioritization'!F35,'9. List &amp; Calc'!$E$171:$F$174,2,FALSE),VLOOKUP('6. Prioritization'!G35,'9. List &amp; Calc'!$E$177:$F$180,2,FALSE)),
"")</f>
        <v/>
      </c>
      <c r="I35" s="210" t="str">
        <f>IF(C35="", "", '9. List &amp; Calc'!F211)</f>
        <v/>
      </c>
      <c r="J35" s="211" t="str">
        <f>IF(C35="", "", '9. List &amp; Calc'!G211)</f>
        <v/>
      </c>
      <c r="K35" s="212" t="str">
        <f>IFERROR(
SUM(VLOOKUP(I35,'9. List &amp; Calc'!$F$149:$G$151,2,FALSE),VLOOKUP(J35,'9. List &amp; Calc'!$F$154:$G$156,2,FALSE)),
"")</f>
        <v/>
      </c>
      <c r="L35" s="65"/>
      <c r="M35" s="65"/>
      <c r="N35" s="213"/>
      <c r="O35" s="213"/>
      <c r="P35" s="206" t="str">
        <f>IF(D35="", "", VLOOKUP(D35, '9. List &amp; Calc'!$E$159:$G$162, 3, FALSE))</f>
        <v/>
      </c>
      <c r="Q35" s="206" t="str">
        <f>IF(E35="", "", VLOOKUP(E35, '9. List &amp; Calc'!$E$165:$G$168, 3, FALSE))</f>
        <v/>
      </c>
      <c r="R35" s="213" t="str">
        <f>IF(F35="", "", VLOOKUP(F35, '9. List &amp; Calc'!$E$171:$G$174, 3, FALSE))</f>
        <v/>
      </c>
      <c r="S35" s="214" t="str">
        <f>IF(G35="", "", VLOOKUP(G35, '9. List &amp; Calc'!$E$177:$G$180, 3, FALSE))</f>
        <v/>
      </c>
    </row>
    <row r="36" spans="2:19" ht="39.950000000000003" customHeight="1" x14ac:dyDescent="0.2">
      <c r="B36" s="228">
        <v>30</v>
      </c>
      <c r="C36" s="225" t="str">
        <f>IF('5. Initiative List'!C35 = "", "", '5. Initiative List'!C35)</f>
        <v/>
      </c>
      <c r="D36" s="211"/>
      <c r="E36" s="211"/>
      <c r="F36" s="208"/>
      <c r="G36" s="208"/>
      <c r="H36" s="209" t="str">
        <f>IFERROR(
SUM(VLOOKUP(D36,'9. List &amp; Calc'!$E$159:$G$162,2,FALSE),VLOOKUP(E36,'9. List &amp; Calc'!$E$164:$F$168,2,FALSE),VLOOKUP('6. Prioritization'!F36,'9. List &amp; Calc'!$E$171:$F$174,2,FALSE),VLOOKUP('6. Prioritization'!G36,'9. List &amp; Calc'!$E$177:$F$180,2,FALSE)),
"")</f>
        <v/>
      </c>
      <c r="I36" s="210" t="str">
        <f>IF(C36="", "", '9. List &amp; Calc'!F212)</f>
        <v/>
      </c>
      <c r="J36" s="211" t="str">
        <f>IF(C36="", "", '9. List &amp; Calc'!G212)</f>
        <v/>
      </c>
      <c r="K36" s="212" t="str">
        <f>IFERROR(
SUM(VLOOKUP(I36,'9. List &amp; Calc'!$F$149:$G$151,2,FALSE),VLOOKUP(J36,'9. List &amp; Calc'!$F$154:$G$156,2,FALSE)),
"")</f>
        <v/>
      </c>
      <c r="L36" s="65"/>
      <c r="M36" s="65"/>
      <c r="N36" s="213"/>
      <c r="O36" s="213"/>
      <c r="P36" s="206" t="str">
        <f>IF(D36="", "", VLOOKUP(D36, '9. List &amp; Calc'!$E$159:$G$162, 3, FALSE))</f>
        <v/>
      </c>
      <c r="Q36" s="206" t="str">
        <f>IF(E36="", "", VLOOKUP(E36, '9. List &amp; Calc'!$E$165:$G$168, 3, FALSE))</f>
        <v/>
      </c>
      <c r="R36" s="213" t="str">
        <f>IF(F36="", "", VLOOKUP(F36, '9. List &amp; Calc'!$E$171:$G$174, 3, FALSE))</f>
        <v/>
      </c>
      <c r="S36" s="214" t="str">
        <f>IF(G36="", "", VLOOKUP(G36, '9. List &amp; Calc'!$E$177:$G$180, 3, FALSE))</f>
        <v/>
      </c>
    </row>
    <row r="37" spans="2:19" ht="39.950000000000003" customHeight="1" x14ac:dyDescent="0.2">
      <c r="B37" s="229">
        <v>31</v>
      </c>
      <c r="C37" s="33" t="str">
        <f>IF('5. Initiative List'!C36 = "", "", '5. Initiative List'!C36)</f>
        <v/>
      </c>
      <c r="D37" s="211"/>
      <c r="E37" s="211"/>
      <c r="F37" s="208"/>
      <c r="G37" s="208"/>
      <c r="H37" s="209" t="str">
        <f>IFERROR(
SUM(VLOOKUP(D37,'9. List &amp; Calc'!$E$159:$G$162,2,FALSE),VLOOKUP(E37,'9. List &amp; Calc'!$E$164:$F$168,2,FALSE),VLOOKUP('6. Prioritization'!F37,'9. List &amp; Calc'!$E$171:$F$174,2,FALSE),VLOOKUP('6. Prioritization'!G37,'9. List &amp; Calc'!$E$177:$F$180,2,FALSE)),
"")</f>
        <v/>
      </c>
      <c r="I37" s="210" t="str">
        <f>IF(C37="", "", '9. List &amp; Calc'!F213)</f>
        <v/>
      </c>
      <c r="J37" s="211" t="str">
        <f>IF(C37="", "", '9. List &amp; Calc'!G213)</f>
        <v/>
      </c>
      <c r="K37" s="212" t="str">
        <f>IFERROR(
SUM(VLOOKUP(I37,'9. List &amp; Calc'!$F$149:$G$151,2,FALSE),VLOOKUP(J37,'9. List &amp; Calc'!$F$154:$G$156,2,FALSE)),
"")</f>
        <v/>
      </c>
      <c r="L37" s="65"/>
      <c r="M37" s="65"/>
      <c r="N37" s="213"/>
      <c r="O37" s="213"/>
      <c r="P37" s="206" t="str">
        <f>IF(D37="", "", VLOOKUP(D37, '9. List &amp; Calc'!$E$159:$G$162, 3, FALSE))</f>
        <v/>
      </c>
      <c r="Q37" s="206" t="str">
        <f>IF(E37="", "", VLOOKUP(E37, '9. List &amp; Calc'!$E$165:$G$168, 3, FALSE))</f>
        <v/>
      </c>
      <c r="R37" s="213" t="str">
        <f>IF(F37="", "", VLOOKUP(F37, '9. List &amp; Calc'!$E$171:$G$174, 3, FALSE))</f>
        <v/>
      </c>
      <c r="S37" s="214" t="str">
        <f>IF(G37="", "", VLOOKUP(G37, '9. List &amp; Calc'!$E$177:$G$180, 3, FALSE))</f>
        <v/>
      </c>
    </row>
    <row r="38" spans="2:19" ht="39.950000000000003" customHeight="1" x14ac:dyDescent="0.2">
      <c r="B38" s="228">
        <v>32</v>
      </c>
      <c r="C38" s="225" t="str">
        <f>IF('5. Initiative List'!C37 = "", "", '5. Initiative List'!C37)</f>
        <v/>
      </c>
      <c r="D38" s="211"/>
      <c r="E38" s="211"/>
      <c r="F38" s="208"/>
      <c r="G38" s="208"/>
      <c r="H38" s="209" t="str">
        <f>IFERROR(
SUM(VLOOKUP(D38,'9. List &amp; Calc'!$E$159:$G$162,2,FALSE),VLOOKUP(E38,'9. List &amp; Calc'!$E$164:$F$168,2,FALSE),VLOOKUP('6. Prioritization'!F38,'9. List &amp; Calc'!$E$171:$F$174,2,FALSE),VLOOKUP('6. Prioritization'!G38,'9. List &amp; Calc'!$E$177:$F$180,2,FALSE)),
"")</f>
        <v/>
      </c>
      <c r="I38" s="210" t="str">
        <f>IF(C38="", "", '9. List &amp; Calc'!F214)</f>
        <v/>
      </c>
      <c r="J38" s="211" t="str">
        <f>IF(C38="", "", '9. List &amp; Calc'!G214)</f>
        <v/>
      </c>
      <c r="K38" s="212" t="str">
        <f>IFERROR(
SUM(VLOOKUP(I38,'9. List &amp; Calc'!$F$149:$G$151,2,FALSE),VLOOKUP(J38,'9. List &amp; Calc'!$F$154:$G$156,2,FALSE)),
"")</f>
        <v/>
      </c>
      <c r="L38" s="65"/>
      <c r="M38" s="65"/>
      <c r="N38" s="213"/>
      <c r="O38" s="213"/>
      <c r="P38" s="206" t="str">
        <f>IF(D38="", "", VLOOKUP(D38, '9. List &amp; Calc'!$E$159:$G$162, 3, FALSE))</f>
        <v/>
      </c>
      <c r="Q38" s="206" t="str">
        <f>IF(E38="", "", VLOOKUP(E38, '9. List &amp; Calc'!$E$165:$G$168, 3, FALSE))</f>
        <v/>
      </c>
      <c r="R38" s="213" t="str">
        <f>IF(F38="", "", VLOOKUP(F38, '9. List &amp; Calc'!$E$171:$G$174, 3, FALSE))</f>
        <v/>
      </c>
      <c r="S38" s="214" t="str">
        <f>IF(G38="", "", VLOOKUP(G38, '9. List &amp; Calc'!$E$177:$G$180, 3, FALSE))</f>
        <v/>
      </c>
    </row>
    <row r="39" spans="2:19" ht="39.950000000000003" customHeight="1" x14ac:dyDescent="0.2">
      <c r="B39" s="229">
        <v>33</v>
      </c>
      <c r="C39" s="33" t="str">
        <f>IF('5. Initiative List'!C38 = "", "", '5. Initiative List'!C38)</f>
        <v/>
      </c>
      <c r="D39" s="211"/>
      <c r="E39" s="211"/>
      <c r="F39" s="208"/>
      <c r="G39" s="208"/>
      <c r="H39" s="209" t="str">
        <f>IFERROR(
SUM(VLOOKUP(D39,'9. List &amp; Calc'!$E$159:$G$162,2,FALSE),VLOOKUP(E39,'9. List &amp; Calc'!$E$164:$F$168,2,FALSE),VLOOKUP('6. Prioritization'!F39,'9. List &amp; Calc'!$E$171:$F$174,2,FALSE),VLOOKUP('6. Prioritization'!G39,'9. List &amp; Calc'!$E$177:$F$180,2,FALSE)),
"")</f>
        <v/>
      </c>
      <c r="I39" s="210" t="str">
        <f>IF(C39="", "", '9. List &amp; Calc'!F215)</f>
        <v/>
      </c>
      <c r="J39" s="211" t="str">
        <f>IF(C39="", "", '9. List &amp; Calc'!G215)</f>
        <v/>
      </c>
      <c r="K39" s="212" t="str">
        <f>IFERROR(
SUM(VLOOKUP(I39,'9. List &amp; Calc'!$F$149:$G$151,2,FALSE),VLOOKUP(J39,'9. List &amp; Calc'!$F$154:$G$156,2,FALSE)),
"")</f>
        <v/>
      </c>
      <c r="L39" s="65"/>
      <c r="M39" s="65"/>
      <c r="N39" s="213"/>
      <c r="O39" s="213"/>
      <c r="P39" s="206" t="str">
        <f>IF(D39="", "", VLOOKUP(D39, '9. List &amp; Calc'!$E$159:$G$162, 3, FALSE))</f>
        <v/>
      </c>
      <c r="Q39" s="206" t="str">
        <f>IF(E39="", "", VLOOKUP(E39, '9. List &amp; Calc'!$E$165:$G$168, 3, FALSE))</f>
        <v/>
      </c>
      <c r="R39" s="213" t="str">
        <f>IF(F39="", "", VLOOKUP(F39, '9. List &amp; Calc'!$E$171:$G$174, 3, FALSE))</f>
        <v/>
      </c>
      <c r="S39" s="214" t="str">
        <f>IF(G39="", "", VLOOKUP(G39, '9. List &amp; Calc'!$E$177:$G$180, 3, FALSE))</f>
        <v/>
      </c>
    </row>
    <row r="40" spans="2:19" ht="39.950000000000003" customHeight="1" x14ac:dyDescent="0.2">
      <c r="B40" s="228">
        <v>34</v>
      </c>
      <c r="C40" s="225" t="str">
        <f>IF('5. Initiative List'!C39 = "", "", '5. Initiative List'!C39)</f>
        <v/>
      </c>
      <c r="D40" s="211"/>
      <c r="E40" s="211"/>
      <c r="F40" s="208"/>
      <c r="G40" s="208"/>
      <c r="H40" s="209" t="str">
        <f>IFERROR(
SUM(VLOOKUP(D40,'9. List &amp; Calc'!$E$159:$G$162,2,FALSE),VLOOKUP(E40,'9. List &amp; Calc'!$E$164:$F$168,2,FALSE),VLOOKUP('6. Prioritization'!F40,'9. List &amp; Calc'!$E$171:$F$174,2,FALSE),VLOOKUP('6. Prioritization'!G40,'9. List &amp; Calc'!$E$177:$F$180,2,FALSE)),
"")</f>
        <v/>
      </c>
      <c r="I40" s="210" t="str">
        <f>IF(C40="", "", '9. List &amp; Calc'!F216)</f>
        <v/>
      </c>
      <c r="J40" s="211" t="str">
        <f>IF(C40="", "", '9. List &amp; Calc'!G216)</f>
        <v/>
      </c>
      <c r="K40" s="212" t="str">
        <f>IFERROR(
SUM(VLOOKUP(I40,'9. List &amp; Calc'!$F$149:$G$151,2,FALSE),VLOOKUP(J40,'9. List &amp; Calc'!$F$154:$G$156,2,FALSE)),
"")</f>
        <v/>
      </c>
      <c r="L40" s="65"/>
      <c r="M40" s="65"/>
      <c r="N40" s="213"/>
      <c r="O40" s="213"/>
      <c r="P40" s="206" t="str">
        <f>IF(D40="", "", VLOOKUP(D40, '9. List &amp; Calc'!$E$159:$G$162, 3, FALSE))</f>
        <v/>
      </c>
      <c r="Q40" s="206" t="str">
        <f>IF(E40="", "", VLOOKUP(E40, '9. List &amp; Calc'!$E$165:$G$168, 3, FALSE))</f>
        <v/>
      </c>
      <c r="R40" s="213" t="str">
        <f>IF(F40="", "", VLOOKUP(F40, '9. List &amp; Calc'!$E$171:$G$174, 3, FALSE))</f>
        <v/>
      </c>
      <c r="S40" s="214" t="str">
        <f>IF(G40="", "", VLOOKUP(G40, '9. List &amp; Calc'!$E$177:$G$180, 3, FALSE))</f>
        <v/>
      </c>
    </row>
    <row r="41" spans="2:19" ht="39.950000000000003" customHeight="1" x14ac:dyDescent="0.2">
      <c r="B41" s="229">
        <v>35</v>
      </c>
      <c r="C41" s="33" t="str">
        <f>IF('5. Initiative List'!C40 = "", "", '5. Initiative List'!C40)</f>
        <v/>
      </c>
      <c r="D41" s="211"/>
      <c r="E41" s="211"/>
      <c r="F41" s="208"/>
      <c r="G41" s="208"/>
      <c r="H41" s="209" t="str">
        <f>IFERROR(
SUM(VLOOKUP(D41,'9. List &amp; Calc'!$E$159:$G$162,2,FALSE),VLOOKUP(E41,'9. List &amp; Calc'!$E$164:$F$168,2,FALSE),VLOOKUP('6. Prioritization'!F41,'9. List &amp; Calc'!$E$171:$F$174,2,FALSE),VLOOKUP('6. Prioritization'!G41,'9. List &amp; Calc'!$E$177:$F$180,2,FALSE)),
"")</f>
        <v/>
      </c>
      <c r="I41" s="210" t="str">
        <f>IF(C41="", "", '9. List &amp; Calc'!F217)</f>
        <v/>
      </c>
      <c r="J41" s="211" t="str">
        <f>IF(C41="", "", '9. List &amp; Calc'!G217)</f>
        <v/>
      </c>
      <c r="K41" s="212" t="str">
        <f>IFERROR(
SUM(VLOOKUP(I41,'9. List &amp; Calc'!$F$149:$G$151,2,FALSE),VLOOKUP(J41,'9. List &amp; Calc'!$F$154:$G$156,2,FALSE)),
"")</f>
        <v/>
      </c>
      <c r="L41" s="65"/>
      <c r="M41" s="65"/>
      <c r="N41" s="213"/>
      <c r="O41" s="213"/>
      <c r="P41" s="206" t="str">
        <f>IF(D41="", "", VLOOKUP(D41, '9. List &amp; Calc'!$E$159:$G$162, 3, FALSE))</f>
        <v/>
      </c>
      <c r="Q41" s="206" t="str">
        <f>IF(E41="", "", VLOOKUP(E41, '9. List &amp; Calc'!$E$165:$G$168, 3, FALSE))</f>
        <v/>
      </c>
      <c r="R41" s="213" t="str">
        <f>IF(F41="", "", VLOOKUP(F41, '9. List &amp; Calc'!$E$171:$G$174, 3, FALSE))</f>
        <v/>
      </c>
      <c r="S41" s="214" t="str">
        <f>IF(G41="", "", VLOOKUP(G41, '9. List &amp; Calc'!$E$177:$G$180, 3, FALSE))</f>
        <v/>
      </c>
    </row>
    <row r="42" spans="2:19" ht="39.950000000000003" customHeight="1" x14ac:dyDescent="0.2">
      <c r="B42" s="228">
        <v>36</v>
      </c>
      <c r="C42" s="225" t="str">
        <f>IF('5. Initiative List'!C41 = "", "", '5. Initiative List'!C41)</f>
        <v/>
      </c>
      <c r="D42" s="211"/>
      <c r="E42" s="211"/>
      <c r="F42" s="208"/>
      <c r="G42" s="208"/>
      <c r="H42" s="209" t="str">
        <f>IFERROR(
SUM(VLOOKUP(D42,'9. List &amp; Calc'!$E$159:$G$162,2,FALSE),VLOOKUP(E42,'9. List &amp; Calc'!$E$164:$F$168,2,FALSE),VLOOKUP('6. Prioritization'!F42,'9. List &amp; Calc'!$E$171:$F$174,2,FALSE),VLOOKUP('6. Prioritization'!G42,'9. List &amp; Calc'!$E$177:$F$180,2,FALSE)),
"")</f>
        <v/>
      </c>
      <c r="I42" s="210" t="str">
        <f>IF(C42="", "", '9. List &amp; Calc'!F218)</f>
        <v/>
      </c>
      <c r="J42" s="211" t="str">
        <f>IF(C42="", "", '9. List &amp; Calc'!G218)</f>
        <v/>
      </c>
      <c r="K42" s="212" t="str">
        <f>IFERROR(
SUM(VLOOKUP(I42,'9. List &amp; Calc'!$F$149:$G$151,2,FALSE),VLOOKUP(J42,'9. List &amp; Calc'!$F$154:$G$156,2,FALSE)),
"")</f>
        <v/>
      </c>
      <c r="L42" s="65"/>
      <c r="M42" s="65"/>
      <c r="N42" s="213"/>
      <c r="O42" s="213"/>
      <c r="P42" s="206" t="str">
        <f>IF(D42="", "", VLOOKUP(D42, '9. List &amp; Calc'!$E$159:$G$162, 3, FALSE))</f>
        <v/>
      </c>
      <c r="Q42" s="206" t="str">
        <f>IF(E42="", "", VLOOKUP(E42, '9. List &amp; Calc'!$E$165:$G$168, 3, FALSE))</f>
        <v/>
      </c>
      <c r="R42" s="213" t="str">
        <f>IF(F42="", "", VLOOKUP(F42, '9. List &amp; Calc'!$E$171:$G$174, 3, FALSE))</f>
        <v/>
      </c>
      <c r="S42" s="214" t="str">
        <f>IF(G42="", "", VLOOKUP(G42, '9. List &amp; Calc'!$E$177:$G$180, 3, FALSE))</f>
        <v/>
      </c>
    </row>
    <row r="43" spans="2:19" ht="39.950000000000003" customHeight="1" x14ac:dyDescent="0.2">
      <c r="B43" s="229">
        <v>37</v>
      </c>
      <c r="C43" s="33" t="str">
        <f>IF('5. Initiative List'!C42 = "", "", '5. Initiative List'!C42)</f>
        <v/>
      </c>
      <c r="D43" s="211"/>
      <c r="E43" s="211"/>
      <c r="F43" s="208"/>
      <c r="G43" s="208"/>
      <c r="H43" s="209" t="str">
        <f>IFERROR(
SUM(VLOOKUP(D43,'9. List &amp; Calc'!$E$159:$G$162,2,FALSE),VLOOKUP(E43,'9. List &amp; Calc'!$E$164:$F$168,2,FALSE),VLOOKUP('6. Prioritization'!F43,'9. List &amp; Calc'!$E$171:$F$174,2,FALSE),VLOOKUP('6. Prioritization'!G43,'9. List &amp; Calc'!$E$177:$F$180,2,FALSE)),
"")</f>
        <v/>
      </c>
      <c r="I43" s="210" t="str">
        <f>IF(C43="", "", '9. List &amp; Calc'!F219)</f>
        <v/>
      </c>
      <c r="J43" s="211" t="str">
        <f>IF(C43="", "", '9. List &amp; Calc'!G219)</f>
        <v/>
      </c>
      <c r="K43" s="212" t="str">
        <f>IFERROR(
SUM(VLOOKUP(I43,'9. List &amp; Calc'!$F$149:$G$151,2,FALSE),VLOOKUP(J43,'9. List &amp; Calc'!$F$154:$G$156,2,FALSE)),
"")</f>
        <v/>
      </c>
      <c r="L43" s="65"/>
      <c r="M43" s="65"/>
      <c r="N43" s="213"/>
      <c r="O43" s="213"/>
      <c r="P43" s="206" t="str">
        <f>IF(D43="", "", VLOOKUP(D43, '9. List &amp; Calc'!$E$159:$G$162, 3, FALSE))</f>
        <v/>
      </c>
      <c r="Q43" s="206" t="str">
        <f>IF(E43="", "", VLOOKUP(E43, '9. List &amp; Calc'!$E$165:$G$168, 3, FALSE))</f>
        <v/>
      </c>
      <c r="R43" s="213" t="str">
        <f>IF(F43="", "", VLOOKUP(F43, '9. List &amp; Calc'!$E$171:$G$174, 3, FALSE))</f>
        <v/>
      </c>
      <c r="S43" s="214" t="str">
        <f>IF(G43="", "", VLOOKUP(G43, '9. List &amp; Calc'!$E$177:$G$180, 3, FALSE))</f>
        <v/>
      </c>
    </row>
    <row r="44" spans="2:19" ht="39.950000000000003" customHeight="1" x14ac:dyDescent="0.2">
      <c r="B44" s="228">
        <v>38</v>
      </c>
      <c r="C44" s="225" t="str">
        <f>IF('5. Initiative List'!C43 = "", "", '5. Initiative List'!C43)</f>
        <v/>
      </c>
      <c r="D44" s="211"/>
      <c r="E44" s="211"/>
      <c r="F44" s="208"/>
      <c r="G44" s="208"/>
      <c r="H44" s="209" t="str">
        <f>IFERROR(
SUM(VLOOKUP(D44,'9. List &amp; Calc'!$E$159:$G$162,2,FALSE),VLOOKUP(E44,'9. List &amp; Calc'!$E$164:$F$168,2,FALSE),VLOOKUP('6. Prioritization'!F44,'9. List &amp; Calc'!$E$171:$F$174,2,FALSE),VLOOKUP('6. Prioritization'!G44,'9. List &amp; Calc'!$E$177:$F$180,2,FALSE)),
"")</f>
        <v/>
      </c>
      <c r="I44" s="210" t="str">
        <f>IF(C44="", "", '9. List &amp; Calc'!F220)</f>
        <v/>
      </c>
      <c r="J44" s="211" t="str">
        <f>IF(C44="", "", '9. List &amp; Calc'!G220)</f>
        <v/>
      </c>
      <c r="K44" s="212" t="str">
        <f>IFERROR(
SUM(VLOOKUP(I44,'9. List &amp; Calc'!$F$149:$G$151,2,FALSE),VLOOKUP(J44,'9. List &amp; Calc'!$F$154:$G$156,2,FALSE)),
"")</f>
        <v/>
      </c>
      <c r="L44" s="65"/>
      <c r="M44" s="65"/>
      <c r="N44" s="213"/>
      <c r="O44" s="213"/>
      <c r="P44" s="206" t="str">
        <f>IF(D44="", "", VLOOKUP(D44, '9. List &amp; Calc'!$E$159:$G$162, 3, FALSE))</f>
        <v/>
      </c>
      <c r="Q44" s="206" t="str">
        <f>IF(E44="", "", VLOOKUP(E44, '9. List &amp; Calc'!$E$165:$G$168, 3, FALSE))</f>
        <v/>
      </c>
      <c r="R44" s="213" t="str">
        <f>IF(F44="", "", VLOOKUP(F44, '9. List &amp; Calc'!$E$171:$G$174, 3, FALSE))</f>
        <v/>
      </c>
      <c r="S44" s="214" t="str">
        <f>IF(G44="", "", VLOOKUP(G44, '9. List &amp; Calc'!$E$177:$G$180, 3, FALSE))</f>
        <v/>
      </c>
    </row>
    <row r="45" spans="2:19" ht="39.950000000000003" customHeight="1" x14ac:dyDescent="0.2">
      <c r="B45" s="229">
        <v>39</v>
      </c>
      <c r="C45" s="33" t="str">
        <f>IF('5. Initiative List'!C44 = "", "", '5. Initiative List'!C44)</f>
        <v/>
      </c>
      <c r="D45" s="211"/>
      <c r="E45" s="211"/>
      <c r="F45" s="208"/>
      <c r="G45" s="208"/>
      <c r="H45" s="209" t="str">
        <f>IFERROR(
SUM(VLOOKUP(D45,'9. List &amp; Calc'!$E$159:$G$162,2,FALSE),VLOOKUP(E45,'9. List &amp; Calc'!$E$164:$F$168,2,FALSE),VLOOKUP('6. Prioritization'!F45,'9. List &amp; Calc'!$E$171:$F$174,2,FALSE),VLOOKUP('6. Prioritization'!G45,'9. List &amp; Calc'!$E$177:$F$180,2,FALSE)),
"")</f>
        <v/>
      </c>
      <c r="I45" s="210" t="str">
        <f>IF(C45="", "", '9. List &amp; Calc'!F221)</f>
        <v/>
      </c>
      <c r="J45" s="211" t="str">
        <f>IF(C45="", "", '9. List &amp; Calc'!G221)</f>
        <v/>
      </c>
      <c r="K45" s="212" t="str">
        <f>IFERROR(
SUM(VLOOKUP(I45,'9. List &amp; Calc'!$F$149:$G$151,2,FALSE),VLOOKUP(J45,'9. List &amp; Calc'!$F$154:$G$156,2,FALSE)),
"")</f>
        <v/>
      </c>
      <c r="L45" s="65"/>
      <c r="M45" s="65"/>
      <c r="N45" s="213"/>
      <c r="O45" s="213"/>
      <c r="P45" s="206" t="str">
        <f>IF(D45="", "", VLOOKUP(D45, '9. List &amp; Calc'!$E$159:$G$162, 3, FALSE))</f>
        <v/>
      </c>
      <c r="Q45" s="206" t="str">
        <f>IF(E45="", "", VLOOKUP(E45, '9. List &amp; Calc'!$E$165:$G$168, 3, FALSE))</f>
        <v/>
      </c>
      <c r="R45" s="213" t="str">
        <f>IF(F45="", "", VLOOKUP(F45, '9. List &amp; Calc'!$E$171:$G$174, 3, FALSE))</f>
        <v/>
      </c>
      <c r="S45" s="214" t="str">
        <f>IF(G45="", "", VLOOKUP(G45, '9. List &amp; Calc'!$E$177:$G$180, 3, FALSE))</f>
        <v/>
      </c>
    </row>
    <row r="46" spans="2:19" ht="39.950000000000003" customHeight="1" thickBot="1" x14ac:dyDescent="0.25">
      <c r="B46" s="230">
        <v>40</v>
      </c>
      <c r="C46" s="231" t="str">
        <f>IF('5. Initiative List'!C45 = "", "", '5. Initiative List'!C45)</f>
        <v/>
      </c>
      <c r="D46" s="218"/>
      <c r="E46" s="218"/>
      <c r="F46" s="215"/>
      <c r="G46" s="215"/>
      <c r="H46" s="216" t="str">
        <f>IFERROR(
SUM(VLOOKUP(D46,'9. List &amp; Calc'!$E$159:$G$162,2,FALSE),VLOOKUP(E46,'9. List &amp; Calc'!$E$164:$F$168,2,FALSE),VLOOKUP('6. Prioritization'!F46,'9. List &amp; Calc'!$E$171:$F$174,2,FALSE),VLOOKUP('6. Prioritization'!G46,'9. List &amp; Calc'!$E$177:$F$180,2,FALSE)),
"")</f>
        <v/>
      </c>
      <c r="I46" s="217" t="str">
        <f>IF(C46="", "", '9. List &amp; Calc'!F222)</f>
        <v/>
      </c>
      <c r="J46" s="218" t="str">
        <f>IF(C46="", "", '9. List &amp; Calc'!G222)</f>
        <v/>
      </c>
      <c r="K46" s="219" t="str">
        <f>IFERROR(
SUM(VLOOKUP(I46,'9. List &amp; Calc'!$F$149:$G$151,2,FALSE),VLOOKUP(J46,'9. List &amp; Calc'!$F$154:$G$156,2,FALSE)),
"")</f>
        <v/>
      </c>
      <c r="L46" s="220"/>
      <c r="M46" s="220"/>
      <c r="N46" s="221"/>
      <c r="O46" s="221"/>
      <c r="P46" s="222" t="str">
        <f>IF(D46="", "", VLOOKUP(D46, '9. List &amp; Calc'!$E$159:$G$162, 3, FALSE))</f>
        <v/>
      </c>
      <c r="Q46" s="222" t="str">
        <f>IF(E46="", "", VLOOKUP(E46, '9. List &amp; Calc'!$E$165:$G$168, 3, FALSE))</f>
        <v/>
      </c>
      <c r="R46" s="221" t="str">
        <f>IF(F46="", "", VLOOKUP(F46, '9. List &amp; Calc'!$E$171:$G$174, 3, FALSE))</f>
        <v/>
      </c>
      <c r="S46" s="223" t="str">
        <f>IF(G46="", "", VLOOKUP(G46, '9. List &amp; Calc'!$E$177:$G$180, 3, FALSE))</f>
        <v/>
      </c>
    </row>
  </sheetData>
  <mergeCells count="10">
    <mergeCell ref="P5:Q5"/>
    <mergeCell ref="R5:S5"/>
    <mergeCell ref="B2:L2"/>
    <mergeCell ref="D3:L3"/>
    <mergeCell ref="N4:N5"/>
    <mergeCell ref="D5:E5"/>
    <mergeCell ref="F5:G5"/>
    <mergeCell ref="I5:J5"/>
    <mergeCell ref="L5:M5"/>
    <mergeCell ref="B3:C4"/>
  </mergeCell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5">
        <x14:dataValidation type="list" allowBlank="1" showInputMessage="1" showErrorMessage="1" xr:uid="{A188360E-903F-4180-8D3B-2D5B4A2B1415}">
          <x14:formula1>
            <xm:f>'9. List &amp; Calc'!$B$134:$B$137</xm:f>
          </x14:formula1>
          <xm:sqref>D7:E46</xm:sqref>
        </x14:dataValidation>
        <x14:dataValidation type="list" allowBlank="1" showInputMessage="1" showErrorMessage="1" xr:uid="{2E062A3C-7B03-4B5E-A6C0-8FF82622E5D7}">
          <x14:formula1>
            <xm:f>'9. List &amp; Calc'!$C$134:$C$137</xm:f>
          </x14:formula1>
          <xm:sqref>F7:G46</xm:sqref>
        </x14:dataValidation>
        <x14:dataValidation type="list" allowBlank="1" showInputMessage="1" showErrorMessage="1" xr:uid="{E7A4ECAF-9898-41E8-A37F-8E45AECAD75C}">
          <x14:formula1>
            <xm:f>'9. List &amp; Calc'!$E$134:$E$137</xm:f>
          </x14:formula1>
          <xm:sqref>N7:N46</xm:sqref>
        </x14:dataValidation>
        <x14:dataValidation type="list" allowBlank="1" showInputMessage="1" showErrorMessage="1" xr:uid="{89632842-9531-4C10-8D0A-45D56F30DDC9}">
          <x14:formula1>
            <xm:f>'9. List &amp; Calc'!$F$149:$F$151</xm:f>
          </x14:formula1>
          <xm:sqref>I7:I46</xm:sqref>
        </x14:dataValidation>
        <x14:dataValidation type="list" allowBlank="1" showInputMessage="1" showErrorMessage="1" xr:uid="{F2754408-FF57-472D-A5F0-5D4986620881}">
          <x14:formula1>
            <xm:f>'9. List &amp; Calc'!$F$154:$F$156</xm:f>
          </x14:formula1>
          <xm:sqref>J7:J46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EB16D-472B-49D3-ACA5-CBCCD23D1638}">
  <dimension ref="B1:BF47"/>
  <sheetViews>
    <sheetView showGridLines="0" topLeftCell="A11" zoomScaleNormal="100" workbookViewId="0">
      <selection activeCell="B2" sqref="B2:V2"/>
    </sheetView>
  </sheetViews>
  <sheetFormatPr defaultColWidth="9" defaultRowHeight="12.75" x14ac:dyDescent="0.2"/>
  <cols>
    <col min="1" max="1" width="2.75" style="1" customWidth="1"/>
    <col min="2" max="2" width="5.5" style="1" customWidth="1"/>
    <col min="3" max="3" width="60.375" style="1" customWidth="1"/>
    <col min="4" max="4" width="15.625" style="37" customWidth="1"/>
    <col min="5" max="6" width="15.625" style="1" customWidth="1"/>
    <col min="7" max="8" width="9" style="37"/>
    <col min="9" max="9" width="15.5" style="38" customWidth="1"/>
    <col min="10" max="10" width="1.375" style="1" customWidth="1"/>
    <col min="11" max="58" width="5.5" style="1" customWidth="1"/>
    <col min="59" max="16384" width="9" style="1"/>
  </cols>
  <sheetData>
    <row r="1" spans="2:58" ht="15" customHeight="1" x14ac:dyDescent="0.2"/>
    <row r="2" spans="2:58" ht="33.75" customHeight="1" x14ac:dyDescent="0.2">
      <c r="B2" s="437" t="s">
        <v>448</v>
      </c>
      <c r="C2" s="438"/>
      <c r="D2" s="438"/>
      <c r="E2" s="438"/>
      <c r="F2" s="438"/>
      <c r="G2" s="438"/>
      <c r="H2" s="438"/>
      <c r="I2" s="438"/>
      <c r="J2" s="438"/>
      <c r="K2" s="438"/>
      <c r="L2" s="438"/>
      <c r="M2" s="438"/>
      <c r="N2" s="438"/>
      <c r="O2" s="438"/>
      <c r="P2" s="438"/>
      <c r="Q2" s="438"/>
      <c r="R2" s="438"/>
      <c r="S2" s="438"/>
      <c r="T2" s="438"/>
      <c r="U2" s="438"/>
      <c r="V2" s="438"/>
    </row>
    <row r="3" spans="2:58" ht="45" customHeight="1" x14ac:dyDescent="0.25">
      <c r="B3" s="439" t="s">
        <v>449</v>
      </c>
      <c r="C3" s="439"/>
      <c r="D3" s="439"/>
      <c r="E3" s="439"/>
      <c r="F3" s="439"/>
      <c r="G3" s="439"/>
      <c r="H3" s="439"/>
      <c r="I3" s="439"/>
      <c r="N3" s="43"/>
    </row>
    <row r="4" spans="2:58" ht="9.9499999999999993" customHeight="1" x14ac:dyDescent="0.2">
      <c r="B4" s="39"/>
    </row>
    <row r="5" spans="2:58" ht="13.5" customHeight="1" thickBot="1" x14ac:dyDescent="0.25">
      <c r="B5" s="39"/>
      <c r="K5" s="44">
        <v>1</v>
      </c>
      <c r="L5" s="44">
        <v>2</v>
      </c>
      <c r="M5" s="44">
        <v>3</v>
      </c>
      <c r="N5" s="44">
        <v>4</v>
      </c>
      <c r="O5" s="44">
        <v>5</v>
      </c>
      <c r="P5" s="44">
        <v>6</v>
      </c>
      <c r="Q5" s="44">
        <v>7</v>
      </c>
      <c r="R5" s="44">
        <v>8</v>
      </c>
      <c r="S5" s="44">
        <v>9</v>
      </c>
      <c r="T5" s="44">
        <v>10</v>
      </c>
      <c r="U5" s="44">
        <v>11</v>
      </c>
      <c r="V5" s="44">
        <v>12</v>
      </c>
      <c r="W5" s="44">
        <v>13</v>
      </c>
      <c r="X5" s="44">
        <v>14</v>
      </c>
      <c r="Y5" s="44">
        <v>15</v>
      </c>
      <c r="Z5" s="44">
        <v>16</v>
      </c>
      <c r="AA5" s="44">
        <v>17</v>
      </c>
      <c r="AB5" s="44">
        <v>18</v>
      </c>
      <c r="AC5" s="44">
        <v>19</v>
      </c>
      <c r="AD5" s="44">
        <v>20</v>
      </c>
      <c r="AE5" s="44">
        <v>21</v>
      </c>
      <c r="AF5" s="44">
        <v>22</v>
      </c>
      <c r="AG5" s="44">
        <v>23</v>
      </c>
      <c r="AH5" s="44">
        <v>24</v>
      </c>
      <c r="AI5" s="44">
        <v>25</v>
      </c>
      <c r="AJ5" s="44">
        <v>26</v>
      </c>
      <c r="AK5" s="44">
        <v>27</v>
      </c>
      <c r="AL5" s="44">
        <v>28</v>
      </c>
      <c r="AM5" s="44">
        <v>29</v>
      </c>
      <c r="AN5" s="44">
        <v>30</v>
      </c>
      <c r="AO5" s="44">
        <v>31</v>
      </c>
      <c r="AP5" s="44">
        <v>32</v>
      </c>
      <c r="AQ5" s="44">
        <v>33</v>
      </c>
      <c r="AR5" s="44">
        <v>34</v>
      </c>
      <c r="AS5" s="44">
        <v>35</v>
      </c>
      <c r="AT5" s="44">
        <v>36</v>
      </c>
      <c r="AU5" s="44">
        <v>37</v>
      </c>
      <c r="AV5" s="44">
        <v>38</v>
      </c>
      <c r="AW5" s="44">
        <v>39</v>
      </c>
      <c r="AX5" s="44">
        <v>40</v>
      </c>
      <c r="AY5" s="44">
        <v>41</v>
      </c>
      <c r="AZ5" s="44">
        <v>42</v>
      </c>
      <c r="BA5" s="44">
        <v>43</v>
      </c>
      <c r="BB5" s="44">
        <v>44</v>
      </c>
      <c r="BC5" s="44">
        <v>45</v>
      </c>
      <c r="BD5" s="44">
        <v>46</v>
      </c>
      <c r="BE5" s="44">
        <v>47</v>
      </c>
      <c r="BF5" s="44">
        <v>48</v>
      </c>
    </row>
    <row r="6" spans="2:58" ht="26.25" customHeight="1" thickBot="1" x14ac:dyDescent="0.25">
      <c r="G6" s="440" t="s">
        <v>450</v>
      </c>
      <c r="H6" s="441"/>
      <c r="K6" s="442" t="str">
        <f>"Year 1 - " &amp; '2. Setup'!D42</f>
        <v>Year 1 - 2026</v>
      </c>
      <c r="L6" s="443"/>
      <c r="M6" s="443"/>
      <c r="N6" s="443"/>
      <c r="O6" s="443"/>
      <c r="P6" s="443"/>
      <c r="Q6" s="443"/>
      <c r="R6" s="443"/>
      <c r="S6" s="443"/>
      <c r="T6" s="443"/>
      <c r="U6" s="443"/>
      <c r="V6" s="444"/>
      <c r="W6" s="434" t="str">
        <f>"Year 2 -" &amp; '2. Setup'!D42 + 1</f>
        <v>Year 2 -2027</v>
      </c>
      <c r="X6" s="435"/>
      <c r="Y6" s="435"/>
      <c r="Z6" s="435"/>
      <c r="AA6" s="435"/>
      <c r="AB6" s="435"/>
      <c r="AC6" s="435"/>
      <c r="AD6" s="435"/>
      <c r="AE6" s="435"/>
      <c r="AF6" s="435"/>
      <c r="AG6" s="435"/>
      <c r="AH6" s="435"/>
      <c r="AI6" s="445" t="str">
        <f>"Year 3 - " &amp; '2. Setup'!D42 +2</f>
        <v>Year 3 - 2028</v>
      </c>
      <c r="AJ6" s="443"/>
      <c r="AK6" s="443"/>
      <c r="AL6" s="443"/>
      <c r="AM6" s="443"/>
      <c r="AN6" s="443"/>
      <c r="AO6" s="443"/>
      <c r="AP6" s="443"/>
      <c r="AQ6" s="443"/>
      <c r="AR6" s="443"/>
      <c r="AS6" s="443"/>
      <c r="AT6" s="444"/>
      <c r="AU6" s="434" t="str">
        <f>"Year 4 - " &amp; '2. Setup'!D42 + 3</f>
        <v>Year 4 - 2029</v>
      </c>
      <c r="AV6" s="435"/>
      <c r="AW6" s="435"/>
      <c r="AX6" s="435"/>
      <c r="AY6" s="435"/>
      <c r="AZ6" s="435"/>
      <c r="BA6" s="435"/>
      <c r="BB6" s="435"/>
      <c r="BC6" s="435"/>
      <c r="BD6" s="435"/>
      <c r="BE6" s="435"/>
      <c r="BF6" s="436"/>
    </row>
    <row r="7" spans="2:58" s="40" customFormat="1" ht="48.6" customHeight="1" thickBot="1" x14ac:dyDescent="0.25">
      <c r="B7" s="45" t="s">
        <v>415</v>
      </c>
      <c r="C7" s="45" t="s">
        <v>416</v>
      </c>
      <c r="D7" s="45" t="s">
        <v>451</v>
      </c>
      <c r="E7" s="46" t="s">
        <v>452</v>
      </c>
      <c r="F7" s="46" t="s">
        <v>453</v>
      </c>
      <c r="G7" s="47" t="s">
        <v>454</v>
      </c>
      <c r="H7" s="48" t="s">
        <v>455</v>
      </c>
      <c r="I7" s="49" t="s">
        <v>456</v>
      </c>
      <c r="K7" s="41" t="s">
        <v>457</v>
      </c>
      <c r="L7" s="50" t="s">
        <v>458</v>
      </c>
      <c r="M7" s="41" t="s">
        <v>459</v>
      </c>
      <c r="N7" s="50" t="s">
        <v>460</v>
      </c>
      <c r="O7" s="41" t="s">
        <v>461</v>
      </c>
      <c r="P7" s="50" t="s">
        <v>462</v>
      </c>
      <c r="Q7" s="41" t="s">
        <v>463</v>
      </c>
      <c r="R7" s="50" t="s">
        <v>464</v>
      </c>
      <c r="S7" s="41" t="s">
        <v>465</v>
      </c>
      <c r="T7" s="50" t="s">
        <v>466</v>
      </c>
      <c r="U7" s="41" t="s">
        <v>467</v>
      </c>
      <c r="V7" s="50" t="s">
        <v>468</v>
      </c>
      <c r="W7" s="41" t="s">
        <v>457</v>
      </c>
      <c r="X7" s="50" t="s">
        <v>458</v>
      </c>
      <c r="Y7" s="41" t="s">
        <v>459</v>
      </c>
      <c r="Z7" s="50" t="s">
        <v>460</v>
      </c>
      <c r="AA7" s="41" t="s">
        <v>461</v>
      </c>
      <c r="AB7" s="50" t="s">
        <v>462</v>
      </c>
      <c r="AC7" s="41" t="s">
        <v>463</v>
      </c>
      <c r="AD7" s="50" t="s">
        <v>464</v>
      </c>
      <c r="AE7" s="41" t="s">
        <v>465</v>
      </c>
      <c r="AF7" s="50" t="s">
        <v>466</v>
      </c>
      <c r="AG7" s="41" t="s">
        <v>467</v>
      </c>
      <c r="AH7" s="50" t="s">
        <v>468</v>
      </c>
      <c r="AI7" s="41" t="s">
        <v>457</v>
      </c>
      <c r="AJ7" s="50" t="s">
        <v>458</v>
      </c>
      <c r="AK7" s="41" t="s">
        <v>459</v>
      </c>
      <c r="AL7" s="50" t="s">
        <v>460</v>
      </c>
      <c r="AM7" s="41" t="s">
        <v>461</v>
      </c>
      <c r="AN7" s="50" t="s">
        <v>462</v>
      </c>
      <c r="AO7" s="41" t="s">
        <v>463</v>
      </c>
      <c r="AP7" s="50" t="s">
        <v>464</v>
      </c>
      <c r="AQ7" s="41" t="s">
        <v>465</v>
      </c>
      <c r="AR7" s="50" t="s">
        <v>466</v>
      </c>
      <c r="AS7" s="41" t="s">
        <v>467</v>
      </c>
      <c r="AT7" s="50" t="s">
        <v>468</v>
      </c>
      <c r="AU7" s="41" t="s">
        <v>457</v>
      </c>
      <c r="AV7" s="50" t="s">
        <v>458</v>
      </c>
      <c r="AW7" s="41" t="s">
        <v>459</v>
      </c>
      <c r="AX7" s="50" t="s">
        <v>460</v>
      </c>
      <c r="AY7" s="41" t="s">
        <v>461</v>
      </c>
      <c r="AZ7" s="50" t="s">
        <v>462</v>
      </c>
      <c r="BA7" s="41" t="s">
        <v>463</v>
      </c>
      <c r="BB7" s="50" t="s">
        <v>464</v>
      </c>
      <c r="BC7" s="41" t="s">
        <v>465</v>
      </c>
      <c r="BD7" s="50" t="s">
        <v>466</v>
      </c>
      <c r="BE7" s="41" t="s">
        <v>467</v>
      </c>
      <c r="BF7" s="50" t="s">
        <v>468</v>
      </c>
    </row>
    <row r="8" spans="2:58" ht="39.950000000000003" customHeight="1" x14ac:dyDescent="0.2">
      <c r="B8" s="51">
        <v>1</v>
      </c>
      <c r="C8" s="52" t="str">
        <f>IF('6. Prioritization'!C7="","",'6. Prioritization'!C7)</f>
        <v>Implement Secure SDLC Requirements Gathering Templates</v>
      </c>
      <c r="D8" s="51">
        <f>IF('6. Prioritization'!N7="","",'6. Prioritization'!N7)</f>
        <v>1</v>
      </c>
      <c r="E8" s="352" t="s">
        <v>469</v>
      </c>
      <c r="F8" s="53">
        <f>IF('6. Prioritization'!$R7="", "", '6. Prioritization'!$R7)</f>
        <v>240</v>
      </c>
      <c r="G8" s="351" t="s">
        <v>458</v>
      </c>
      <c r="H8" s="351">
        <v>2025</v>
      </c>
      <c r="I8" s="53">
        <v>4</v>
      </c>
      <c r="K8" s="54"/>
      <c r="L8" s="55"/>
      <c r="M8" s="54"/>
      <c r="N8" s="55"/>
      <c r="O8" s="54"/>
      <c r="P8" s="55"/>
      <c r="Q8" s="54"/>
      <c r="R8" s="55"/>
      <c r="S8" s="54"/>
      <c r="T8" s="55"/>
      <c r="U8" s="54"/>
      <c r="V8" s="55"/>
      <c r="W8" s="54"/>
      <c r="X8" s="55"/>
      <c r="Y8" s="54"/>
      <c r="Z8" s="55"/>
      <c r="AA8" s="54"/>
      <c r="AB8" s="55"/>
      <c r="AC8" s="54"/>
      <c r="AD8" s="55"/>
      <c r="AE8" s="54"/>
      <c r="AF8" s="55"/>
      <c r="AG8" s="54"/>
      <c r="AH8" s="55"/>
      <c r="AI8" s="54"/>
      <c r="AJ8" s="55"/>
      <c r="AK8" s="54"/>
      <c r="AL8" s="55"/>
      <c r="AM8" s="54"/>
      <c r="AN8" s="55"/>
      <c r="AO8" s="54"/>
      <c r="AP8" s="55"/>
      <c r="AQ8" s="54"/>
      <c r="AR8" s="55"/>
      <c r="AS8" s="54"/>
      <c r="AT8" s="55"/>
      <c r="AU8" s="54"/>
      <c r="AV8" s="55"/>
      <c r="AW8" s="54"/>
      <c r="AX8" s="55"/>
      <c r="AY8" s="54"/>
      <c r="AZ8" s="55"/>
      <c r="BA8" s="54"/>
      <c r="BB8" s="55"/>
      <c r="BC8" s="54"/>
      <c r="BD8" s="55"/>
      <c r="BE8" s="54"/>
      <c r="BF8" s="55"/>
    </row>
    <row r="9" spans="2:58" ht="39.950000000000003" customHeight="1" x14ac:dyDescent="0.2">
      <c r="B9" s="56">
        <v>2</v>
      </c>
      <c r="C9" s="27" t="str">
        <f>IF('6. Prioritization'!C8="","",'6. Prioritization'!C8)</f>
        <v>Deploy Threat Modeling Automation Tools (e.g. ThreatSpec, IriusRisk)</v>
      </c>
      <c r="D9" s="56">
        <f>IF('6. Prioritization'!N8="","",'6. Prioritization'!N8)</f>
        <v>1</v>
      </c>
      <c r="E9" s="352" t="s">
        <v>470</v>
      </c>
      <c r="F9" s="53">
        <f>IF('6. Prioritization'!$R8="", "", '6. Prioritization'!$R8)</f>
        <v>120</v>
      </c>
      <c r="G9" s="53" t="s">
        <v>461</v>
      </c>
      <c r="H9" s="53">
        <v>2025</v>
      </c>
      <c r="I9" s="53">
        <v>2</v>
      </c>
      <c r="K9" s="57"/>
      <c r="L9" s="58"/>
      <c r="M9" s="57"/>
      <c r="N9" s="58"/>
      <c r="O9" s="57"/>
      <c r="P9" s="58"/>
      <c r="Q9" s="57"/>
      <c r="R9" s="58"/>
      <c r="S9" s="57"/>
      <c r="T9" s="58"/>
      <c r="U9" s="57"/>
      <c r="V9" s="58"/>
      <c r="W9" s="57"/>
      <c r="X9" s="58"/>
      <c r="Y9" s="57"/>
      <c r="Z9" s="58"/>
      <c r="AA9" s="57"/>
      <c r="AB9" s="58"/>
      <c r="AC9" s="57"/>
      <c r="AD9" s="58"/>
      <c r="AE9" s="57"/>
      <c r="AF9" s="58"/>
      <c r="AG9" s="57"/>
      <c r="AH9" s="58"/>
      <c r="AI9" s="57"/>
      <c r="AJ9" s="58"/>
      <c r="AK9" s="57"/>
      <c r="AL9" s="58"/>
      <c r="AM9" s="57"/>
      <c r="AN9" s="58"/>
      <c r="AO9" s="57"/>
      <c r="AP9" s="58"/>
      <c r="AQ9" s="57"/>
      <c r="AR9" s="58"/>
      <c r="AS9" s="57"/>
      <c r="AT9" s="58"/>
      <c r="AU9" s="57"/>
      <c r="AV9" s="58"/>
      <c r="AW9" s="57"/>
      <c r="AX9" s="58"/>
      <c r="AY9" s="57"/>
      <c r="AZ9" s="58"/>
      <c r="BA9" s="57"/>
      <c r="BB9" s="58"/>
      <c r="BC9" s="57"/>
      <c r="BD9" s="58"/>
      <c r="BE9" s="57"/>
      <c r="BF9" s="58"/>
    </row>
    <row r="10" spans="2:58" ht="39.950000000000003" customHeight="1" x14ac:dyDescent="0.2">
      <c r="B10" s="59">
        <v>3</v>
      </c>
      <c r="C10" s="52" t="str">
        <f>IF('6. Prioritization'!C9="","",'6. Prioritization'!C9)</f>
        <v>Establish Secure Architecture Review Board</v>
      </c>
      <c r="D10" s="51">
        <f>IF('6. Prioritization'!N9="","",'6. Prioritization'!N9)</f>
        <v>2</v>
      </c>
      <c r="E10" s="352" t="s">
        <v>471</v>
      </c>
      <c r="F10" s="53">
        <f>IF('6. Prioritization'!$R9="", "", '6. Prioritization'!$R9)</f>
        <v>240</v>
      </c>
      <c r="G10" s="53" t="s">
        <v>457</v>
      </c>
      <c r="H10" s="53">
        <v>2026</v>
      </c>
      <c r="I10" s="53">
        <v>3</v>
      </c>
      <c r="K10" s="57"/>
      <c r="L10" s="58"/>
      <c r="M10" s="57"/>
      <c r="N10" s="58"/>
      <c r="O10" s="57"/>
      <c r="P10" s="58"/>
      <c r="Q10" s="57"/>
      <c r="R10" s="58"/>
      <c r="S10" s="57"/>
      <c r="T10" s="58"/>
      <c r="U10" s="57"/>
      <c r="V10" s="58"/>
      <c r="W10" s="57"/>
      <c r="X10" s="58"/>
      <c r="Y10" s="57"/>
      <c r="Z10" s="58"/>
      <c r="AA10" s="57"/>
      <c r="AB10" s="58"/>
      <c r="AC10" s="57"/>
      <c r="AD10" s="58"/>
      <c r="AE10" s="57"/>
      <c r="AF10" s="58"/>
      <c r="AG10" s="57"/>
      <c r="AH10" s="58"/>
      <c r="AI10" s="57"/>
      <c r="AJ10" s="58"/>
      <c r="AK10" s="57"/>
      <c r="AL10" s="58"/>
      <c r="AM10" s="57"/>
      <c r="AN10" s="58"/>
      <c r="AO10" s="57"/>
      <c r="AP10" s="58"/>
      <c r="AQ10" s="57"/>
      <c r="AR10" s="58"/>
      <c r="AS10" s="57"/>
      <c r="AT10" s="58"/>
      <c r="AU10" s="57"/>
      <c r="AV10" s="58"/>
      <c r="AW10" s="57"/>
      <c r="AX10" s="58"/>
      <c r="AY10" s="57"/>
      <c r="AZ10" s="58"/>
      <c r="BA10" s="57"/>
      <c r="BB10" s="58"/>
      <c r="BC10" s="57"/>
      <c r="BD10" s="58"/>
      <c r="BE10" s="57"/>
      <c r="BF10" s="58"/>
    </row>
    <row r="11" spans="2:58" ht="39.950000000000003" customHeight="1" x14ac:dyDescent="0.2">
      <c r="B11" s="56">
        <v>4</v>
      </c>
      <c r="C11" s="27" t="str">
        <f>IF('6. Prioritization'!C10="","",'6. Prioritization'!C10)</f>
        <v>Implement Secure AI/ML Design Controls &amp; Data Lineage Tracking</v>
      </c>
      <c r="D11" s="56">
        <f>IF('6. Prioritization'!N10="","",'6. Prioritization'!N10)</f>
        <v>3</v>
      </c>
      <c r="E11" s="352" t="s">
        <v>472</v>
      </c>
      <c r="F11" s="53">
        <f>IF('6. Prioritization'!$R10="", "", '6. Prioritization'!$R10)</f>
        <v>120</v>
      </c>
      <c r="G11" s="53" t="s">
        <v>460</v>
      </c>
      <c r="H11" s="53">
        <v>2026</v>
      </c>
      <c r="I11" s="53">
        <v>6</v>
      </c>
      <c r="K11" s="57"/>
      <c r="L11" s="58"/>
      <c r="M11" s="57"/>
      <c r="N11" s="58"/>
      <c r="O11" s="57"/>
      <c r="P11" s="58"/>
      <c r="Q11" s="57"/>
      <c r="R11" s="58"/>
      <c r="S11" s="57"/>
      <c r="T11" s="58"/>
      <c r="U11" s="57"/>
      <c r="V11" s="58"/>
      <c r="W11" s="57"/>
      <c r="X11" s="58"/>
      <c r="Y11" s="57"/>
      <c r="Z11" s="58"/>
      <c r="AA11" s="57"/>
      <c r="AB11" s="58"/>
      <c r="AC11" s="57"/>
      <c r="AD11" s="58"/>
      <c r="AE11" s="57"/>
      <c r="AF11" s="58"/>
      <c r="AG11" s="57"/>
      <c r="AH11" s="58"/>
      <c r="AI11" s="57"/>
      <c r="AJ11" s="58"/>
      <c r="AK11" s="57"/>
      <c r="AL11" s="58"/>
      <c r="AM11" s="57"/>
      <c r="AN11" s="58"/>
      <c r="AO11" s="57"/>
      <c r="AP11" s="58"/>
      <c r="AQ11" s="57"/>
      <c r="AR11" s="58"/>
      <c r="AS11" s="57"/>
      <c r="AT11" s="58"/>
      <c r="AU11" s="57"/>
      <c r="AV11" s="58"/>
      <c r="AW11" s="57"/>
      <c r="AX11" s="58"/>
      <c r="AY11" s="57"/>
      <c r="AZ11" s="58"/>
      <c r="BA11" s="57"/>
      <c r="BB11" s="58"/>
      <c r="BC11" s="57"/>
      <c r="BD11" s="58"/>
      <c r="BE11" s="57"/>
      <c r="BF11" s="58"/>
    </row>
    <row r="12" spans="2:58" ht="39.950000000000003" customHeight="1" x14ac:dyDescent="0.2">
      <c r="B12" s="59">
        <v>5</v>
      </c>
      <c r="C12" s="52" t="str">
        <f>IF('6. Prioritization'!C11="","",'6. Prioritization'!C11)</f>
        <v>Train Developers on Secure Coding Practices (OWASP Top 10)</v>
      </c>
      <c r="D12" s="51">
        <f>IF('6. Prioritization'!N11="","",'6. Prioritization'!N11)</f>
        <v>4</v>
      </c>
      <c r="E12" s="352" t="s">
        <v>471</v>
      </c>
      <c r="F12" s="53">
        <f>IF('6. Prioritization'!$R11="", "", '6. Prioritization'!$R11)</f>
        <v>120</v>
      </c>
      <c r="G12" s="53" t="s">
        <v>460</v>
      </c>
      <c r="H12" s="53">
        <v>2027</v>
      </c>
      <c r="I12" s="53">
        <v>8</v>
      </c>
      <c r="K12" s="57"/>
      <c r="L12" s="58"/>
      <c r="M12" s="57"/>
      <c r="N12" s="58"/>
      <c r="O12" s="57"/>
      <c r="P12" s="58"/>
      <c r="Q12" s="57"/>
      <c r="R12" s="58"/>
      <c r="S12" s="57"/>
      <c r="T12" s="58"/>
      <c r="U12" s="57"/>
      <c r="V12" s="58"/>
      <c r="W12" s="57"/>
      <c r="X12" s="58"/>
      <c r="Y12" s="57"/>
      <c r="Z12" s="58"/>
      <c r="AA12" s="57"/>
      <c r="AB12" s="58"/>
      <c r="AC12" s="57"/>
      <c r="AD12" s="58"/>
      <c r="AE12" s="57"/>
      <c r="AF12" s="58"/>
      <c r="AG12" s="57"/>
      <c r="AH12" s="58"/>
      <c r="AI12" s="57"/>
      <c r="AJ12" s="58"/>
      <c r="AK12" s="57"/>
      <c r="AL12" s="58"/>
      <c r="AM12" s="57"/>
      <c r="AN12" s="58"/>
      <c r="AO12" s="57"/>
      <c r="AP12" s="58"/>
      <c r="AQ12" s="57"/>
      <c r="AR12" s="58"/>
      <c r="AS12" s="57"/>
      <c r="AT12" s="58"/>
      <c r="AU12" s="57"/>
      <c r="AV12" s="58"/>
      <c r="AW12" s="57"/>
      <c r="AX12" s="58"/>
      <c r="AY12" s="57"/>
      <c r="AZ12" s="58"/>
      <c r="BA12" s="57"/>
      <c r="BB12" s="58"/>
      <c r="BC12" s="57"/>
      <c r="BD12" s="58"/>
      <c r="BE12" s="57"/>
      <c r="BF12" s="58"/>
    </row>
    <row r="13" spans="2:58" ht="39.950000000000003" customHeight="1" x14ac:dyDescent="0.2">
      <c r="B13" s="56">
        <v>6</v>
      </c>
      <c r="C13" s="27" t="str">
        <f>IF('6. Prioritization'!C12="","",'6. Prioritization'!C12)</f>
        <v>Integrate SAST Tools Into CI Pipeline</v>
      </c>
      <c r="D13" s="56">
        <f>IF('6. Prioritization'!N12="","",'6. Prioritization'!N12)</f>
        <v>3</v>
      </c>
      <c r="E13" s="352" t="s">
        <v>469</v>
      </c>
      <c r="F13" s="53">
        <f>IF('6. Prioritization'!$R12="", "", '6. Prioritization'!$R12)</f>
        <v>30</v>
      </c>
      <c r="G13" s="53" t="s">
        <v>457</v>
      </c>
      <c r="H13" s="53">
        <v>2026</v>
      </c>
      <c r="I13" s="53">
        <v>2</v>
      </c>
      <c r="K13" s="57"/>
      <c r="L13" s="58"/>
      <c r="M13" s="57"/>
      <c r="N13" s="58"/>
      <c r="O13" s="57"/>
      <c r="P13" s="58"/>
      <c r="Q13" s="57"/>
      <c r="R13" s="58"/>
      <c r="S13" s="57"/>
      <c r="T13" s="58"/>
      <c r="U13" s="57"/>
      <c r="V13" s="58"/>
      <c r="W13" s="57"/>
      <c r="X13" s="58"/>
      <c r="Y13" s="57"/>
      <c r="Z13" s="58"/>
      <c r="AA13" s="57"/>
      <c r="AB13" s="58"/>
      <c r="AC13" s="57"/>
      <c r="AD13" s="58"/>
      <c r="AE13" s="57"/>
      <c r="AF13" s="58"/>
      <c r="AG13" s="57"/>
      <c r="AH13" s="58"/>
      <c r="AI13" s="57"/>
      <c r="AJ13" s="58"/>
      <c r="AK13" s="57"/>
      <c r="AL13" s="58"/>
      <c r="AM13" s="57"/>
      <c r="AN13" s="58"/>
      <c r="AO13" s="57"/>
      <c r="AP13" s="58"/>
      <c r="AQ13" s="57"/>
      <c r="AR13" s="58"/>
      <c r="AS13" s="57"/>
      <c r="AT13" s="58"/>
      <c r="AU13" s="57"/>
      <c r="AV13" s="58"/>
      <c r="AW13" s="57"/>
      <c r="AX13" s="58"/>
      <c r="AY13" s="57"/>
      <c r="AZ13" s="58"/>
      <c r="BA13" s="57"/>
      <c r="BB13" s="58"/>
      <c r="BC13" s="57"/>
      <c r="BD13" s="58"/>
      <c r="BE13" s="57"/>
      <c r="BF13" s="58"/>
    </row>
    <row r="14" spans="2:58" ht="39.950000000000003" customHeight="1" x14ac:dyDescent="0.2">
      <c r="B14" s="59">
        <v>7</v>
      </c>
      <c r="C14" s="52" t="str">
        <f>IF('6. Prioritization'!C13="","",'6. Prioritization'!C13)</f>
        <v>Automate Software Composition Analysis &amp; Supply Chain Scanning</v>
      </c>
      <c r="D14" s="51">
        <f>IF('6. Prioritization'!N13="","",'6. Prioritization'!N13)</f>
        <v>4</v>
      </c>
      <c r="E14" s="352" t="s">
        <v>470</v>
      </c>
      <c r="F14" s="53">
        <f>IF('6. Prioritization'!$R13="", "", '6. Prioritization'!$R13)</f>
        <v>120</v>
      </c>
      <c r="G14" s="53" t="s">
        <v>460</v>
      </c>
      <c r="H14" s="53">
        <v>2027</v>
      </c>
      <c r="I14" s="53">
        <v>4</v>
      </c>
      <c r="K14" s="57"/>
      <c r="L14" s="58"/>
      <c r="M14" s="57"/>
      <c r="N14" s="58"/>
      <c r="O14" s="57"/>
      <c r="P14" s="58"/>
      <c r="Q14" s="57"/>
      <c r="R14" s="58"/>
      <c r="S14" s="57"/>
      <c r="T14" s="58"/>
      <c r="U14" s="57"/>
      <c r="V14" s="58"/>
      <c r="W14" s="57"/>
      <c r="X14" s="58"/>
      <c r="Y14" s="57"/>
      <c r="Z14" s="58"/>
      <c r="AA14" s="57"/>
      <c r="AB14" s="58"/>
      <c r="AC14" s="57"/>
      <c r="AD14" s="58"/>
      <c r="AE14" s="57"/>
      <c r="AF14" s="58"/>
      <c r="AG14" s="57"/>
      <c r="AH14" s="58"/>
      <c r="AI14" s="57"/>
      <c r="AJ14" s="58"/>
      <c r="AK14" s="57"/>
      <c r="AL14" s="58"/>
      <c r="AM14" s="57"/>
      <c r="AN14" s="58"/>
      <c r="AO14" s="57"/>
      <c r="AP14" s="58"/>
      <c r="AQ14" s="57"/>
      <c r="AR14" s="58"/>
      <c r="AS14" s="57"/>
      <c r="AT14" s="58"/>
      <c r="AU14" s="57"/>
      <c r="AV14" s="58"/>
      <c r="AW14" s="57"/>
      <c r="AX14" s="58"/>
      <c r="AY14" s="57"/>
      <c r="AZ14" s="58"/>
      <c r="BA14" s="57"/>
      <c r="BB14" s="58"/>
      <c r="BC14" s="57"/>
      <c r="BD14" s="58"/>
      <c r="BE14" s="57"/>
      <c r="BF14" s="58"/>
    </row>
    <row r="15" spans="2:58" ht="39.950000000000003" customHeight="1" x14ac:dyDescent="0.2">
      <c r="B15" s="56">
        <v>8</v>
      </c>
      <c r="C15" s="27" t="str">
        <f>IF('6. Prioritization'!C14="","",'6. Prioritization'!C14)</f>
        <v>Enhance CI/CD Pipelines With Secrets Scanning &amp; Signing Tools</v>
      </c>
      <c r="D15" s="56">
        <f>IF('6. Prioritization'!N14="","",'6. Prioritization'!N14)</f>
        <v>2</v>
      </c>
      <c r="E15" s="352" t="s">
        <v>473</v>
      </c>
      <c r="F15" s="53">
        <f>IF('6. Prioritization'!$R14="", "", '6. Prioritization'!$R14)</f>
        <v>120</v>
      </c>
      <c r="G15" s="53" t="s">
        <v>459</v>
      </c>
      <c r="H15" s="53">
        <v>2026</v>
      </c>
      <c r="I15" s="53">
        <v>5</v>
      </c>
      <c r="K15" s="57"/>
      <c r="L15" s="58"/>
      <c r="M15" s="57"/>
      <c r="N15" s="58"/>
      <c r="O15" s="57"/>
      <c r="P15" s="58"/>
      <c r="Q15" s="57"/>
      <c r="R15" s="58"/>
      <c r="S15" s="57"/>
      <c r="T15" s="58"/>
      <c r="U15" s="57"/>
      <c r="V15" s="58"/>
      <c r="W15" s="57"/>
      <c r="X15" s="58"/>
      <c r="Y15" s="57"/>
      <c r="Z15" s="58"/>
      <c r="AA15" s="57"/>
      <c r="AB15" s="58"/>
      <c r="AC15" s="57"/>
      <c r="AD15" s="58"/>
      <c r="AE15" s="57"/>
      <c r="AF15" s="58"/>
      <c r="AG15" s="57"/>
      <c r="AH15" s="58"/>
      <c r="AI15" s="57"/>
      <c r="AJ15" s="58"/>
      <c r="AK15" s="57"/>
      <c r="AL15" s="58"/>
      <c r="AM15" s="57"/>
      <c r="AN15" s="58"/>
      <c r="AO15" s="57"/>
      <c r="AP15" s="58"/>
      <c r="AQ15" s="57"/>
      <c r="AR15" s="58"/>
      <c r="AS15" s="57"/>
      <c r="AT15" s="58"/>
      <c r="AU15" s="57"/>
      <c r="AV15" s="58"/>
      <c r="AW15" s="57"/>
      <c r="AX15" s="58"/>
      <c r="AY15" s="57"/>
      <c r="AZ15" s="58"/>
      <c r="BA15" s="57"/>
      <c r="BB15" s="58"/>
      <c r="BC15" s="57"/>
      <c r="BD15" s="58"/>
      <c r="BE15" s="57"/>
      <c r="BF15" s="58"/>
    </row>
    <row r="16" spans="2:58" ht="39.950000000000003" customHeight="1" x14ac:dyDescent="0.2">
      <c r="B16" s="59">
        <v>9</v>
      </c>
      <c r="C16" s="52" t="str">
        <f>IF('6. Prioritization'!C15="","",'6. Prioritization'!C15)</f>
        <v>Implement IaC and Container Security Scanning</v>
      </c>
      <c r="D16" s="51">
        <f>IF('6. Prioritization'!N15="","",'6. Prioritization'!N15)</f>
        <v>4</v>
      </c>
      <c r="E16" s="352" t="s">
        <v>472</v>
      </c>
      <c r="F16" s="53">
        <f>IF('6. Prioritization'!$R15="", "", '6. Prioritization'!$R15)</f>
        <v>30</v>
      </c>
      <c r="G16" s="53" t="s">
        <v>457</v>
      </c>
      <c r="H16" s="53">
        <v>2027</v>
      </c>
      <c r="I16" s="53">
        <v>4</v>
      </c>
      <c r="K16" s="57"/>
      <c r="L16" s="58"/>
      <c r="M16" s="57"/>
      <c r="N16" s="58"/>
      <c r="O16" s="57"/>
      <c r="P16" s="58"/>
      <c r="Q16" s="57"/>
      <c r="R16" s="58"/>
      <c r="S16" s="57"/>
      <c r="T16" s="58"/>
      <c r="U16" s="57"/>
      <c r="V16" s="58"/>
      <c r="W16" s="57"/>
      <c r="X16" s="58"/>
      <c r="Y16" s="57"/>
      <c r="Z16" s="58"/>
      <c r="AA16" s="57"/>
      <c r="AB16" s="58"/>
      <c r="AC16" s="57"/>
      <c r="AD16" s="58"/>
      <c r="AE16" s="57"/>
      <c r="AF16" s="58"/>
      <c r="AG16" s="57"/>
      <c r="AH16" s="58"/>
      <c r="AI16" s="57"/>
      <c r="AJ16" s="58"/>
      <c r="AK16" s="57"/>
      <c r="AL16" s="58"/>
      <c r="AM16" s="57"/>
      <c r="AN16" s="58"/>
      <c r="AO16" s="57"/>
      <c r="AP16" s="58"/>
      <c r="AQ16" s="57"/>
      <c r="AR16" s="58"/>
      <c r="AS16" s="57"/>
      <c r="AT16" s="58"/>
      <c r="AU16" s="57"/>
      <c r="AV16" s="58"/>
      <c r="AW16" s="57"/>
      <c r="AX16" s="58"/>
      <c r="AY16" s="57"/>
      <c r="AZ16" s="58"/>
      <c r="BA16" s="57"/>
      <c r="BB16" s="58"/>
      <c r="BC16" s="57"/>
      <c r="BD16" s="58"/>
      <c r="BE16" s="57"/>
      <c r="BF16" s="58"/>
    </row>
    <row r="17" spans="2:58" ht="39.950000000000003" customHeight="1" x14ac:dyDescent="0.2">
      <c r="B17" s="56">
        <v>10</v>
      </c>
      <c r="C17" s="27" t="str">
        <f>IF('6. Prioritization'!C16="","",'6. Prioritization'!C16)</f>
        <v>Adopt Policy-as-Code for Automated Security Governance</v>
      </c>
      <c r="D17" s="56">
        <f>IF('6. Prioritization'!N16="","",'6. Prioritization'!N16)</f>
        <v>3</v>
      </c>
      <c r="E17" s="352" t="s">
        <v>471</v>
      </c>
      <c r="F17" s="53">
        <f>IF('6. Prioritization'!$R16="", "", '6. Prioritization'!$R16)</f>
        <v>120</v>
      </c>
      <c r="G17" s="53" t="s">
        <v>462</v>
      </c>
      <c r="H17" s="53">
        <v>2026</v>
      </c>
      <c r="I17" s="53">
        <v>5</v>
      </c>
      <c r="K17" s="57"/>
      <c r="L17" s="58"/>
      <c r="M17" s="57"/>
      <c r="N17" s="58"/>
      <c r="O17" s="57"/>
      <c r="P17" s="58"/>
      <c r="Q17" s="57"/>
      <c r="R17" s="58"/>
      <c r="S17" s="57"/>
      <c r="T17" s="58"/>
      <c r="U17" s="57"/>
      <c r="V17" s="58"/>
      <c r="W17" s="57"/>
      <c r="X17" s="58"/>
      <c r="Y17" s="57"/>
      <c r="Z17" s="58"/>
      <c r="AA17" s="57"/>
      <c r="AB17" s="58"/>
      <c r="AC17" s="57"/>
      <c r="AD17" s="58"/>
      <c r="AE17" s="57"/>
      <c r="AF17" s="58"/>
      <c r="AG17" s="57"/>
      <c r="AH17" s="58"/>
      <c r="AI17" s="57"/>
      <c r="AJ17" s="58"/>
      <c r="AK17" s="57"/>
      <c r="AL17" s="58"/>
      <c r="AM17" s="57"/>
      <c r="AN17" s="58"/>
      <c r="AO17" s="57"/>
      <c r="AP17" s="58"/>
      <c r="AQ17" s="57"/>
      <c r="AR17" s="58"/>
      <c r="AS17" s="57"/>
      <c r="AT17" s="58"/>
      <c r="AU17" s="57"/>
      <c r="AV17" s="58"/>
      <c r="AW17" s="57"/>
      <c r="AX17" s="58"/>
      <c r="AY17" s="57"/>
      <c r="AZ17" s="58"/>
      <c r="BA17" s="57"/>
      <c r="BB17" s="58"/>
      <c r="BC17" s="57"/>
      <c r="BD17" s="58"/>
      <c r="BE17" s="57"/>
      <c r="BF17" s="58"/>
    </row>
    <row r="18" spans="2:58" ht="39.950000000000003" customHeight="1" x14ac:dyDescent="0.2">
      <c r="B18" s="59">
        <v>11</v>
      </c>
      <c r="C18" s="52" t="str">
        <f>IF('6. Prioritization'!C17="","",'6. Prioritization'!C17)</f>
        <v>Establish Fuzzing and Red Team Engagement Programs</v>
      </c>
      <c r="D18" s="51">
        <f>IF('6. Prioritization'!N17="","",'6. Prioritization'!N17)</f>
        <v>2</v>
      </c>
      <c r="E18" s="352" t="s">
        <v>473</v>
      </c>
      <c r="F18" s="53">
        <f>IF('6. Prioritization'!$R17="", "", '6. Prioritization'!$R17)</f>
        <v>120</v>
      </c>
      <c r="G18" s="53" t="s">
        <v>466</v>
      </c>
      <c r="H18" s="53">
        <v>2025</v>
      </c>
      <c r="I18" s="53">
        <v>5</v>
      </c>
      <c r="K18" s="57"/>
      <c r="L18" s="58"/>
      <c r="M18" s="57"/>
      <c r="N18" s="58"/>
      <c r="O18" s="57"/>
      <c r="P18" s="58"/>
      <c r="Q18" s="57"/>
      <c r="R18" s="58"/>
      <c r="S18" s="57"/>
      <c r="T18" s="58"/>
      <c r="U18" s="57"/>
      <c r="V18" s="58"/>
      <c r="W18" s="57"/>
      <c r="X18" s="58"/>
      <c r="Y18" s="57"/>
      <c r="Z18" s="58"/>
      <c r="AA18" s="57"/>
      <c r="AB18" s="58"/>
      <c r="AC18" s="57"/>
      <c r="AD18" s="58"/>
      <c r="AE18" s="57"/>
      <c r="AF18" s="58"/>
      <c r="AG18" s="57"/>
      <c r="AH18" s="58"/>
      <c r="AI18" s="57"/>
      <c r="AJ18" s="58"/>
      <c r="AK18" s="57"/>
      <c r="AL18" s="58"/>
      <c r="AM18" s="57"/>
      <c r="AN18" s="58"/>
      <c r="AO18" s="57"/>
      <c r="AP18" s="58"/>
      <c r="AQ18" s="57"/>
      <c r="AR18" s="58"/>
      <c r="AS18" s="57"/>
      <c r="AT18" s="58"/>
      <c r="AU18" s="57"/>
      <c r="AV18" s="58"/>
      <c r="AW18" s="57"/>
      <c r="AX18" s="58"/>
      <c r="AY18" s="57"/>
      <c r="AZ18" s="58"/>
      <c r="BA18" s="57"/>
      <c r="BB18" s="58"/>
      <c r="BC18" s="57"/>
      <c r="BD18" s="58"/>
      <c r="BE18" s="57"/>
      <c r="BF18" s="58"/>
    </row>
    <row r="19" spans="2:58" ht="39.950000000000003" customHeight="1" x14ac:dyDescent="0.2">
      <c r="B19" s="56">
        <v>12</v>
      </c>
      <c r="C19" s="27" t="str">
        <f>IF('6. Prioritization'!C18="","",'6. Prioritization'!C18)</f>
        <v>Deploy Centralized Security Monitoring and Threat Detection Tools</v>
      </c>
      <c r="D19" s="56">
        <f>IF('6. Prioritization'!N18="","",'6. Prioritization'!N18)</f>
        <v>2</v>
      </c>
      <c r="E19" s="352" t="s">
        <v>474</v>
      </c>
      <c r="F19" s="53">
        <f>IF('6. Prioritization'!$R18="", "", '6. Prioritization'!$R18)</f>
        <v>240</v>
      </c>
      <c r="G19" s="53" t="s">
        <v>459</v>
      </c>
      <c r="H19" s="53">
        <v>2026</v>
      </c>
      <c r="I19" s="53">
        <v>3</v>
      </c>
      <c r="K19" s="57"/>
      <c r="L19" s="58"/>
      <c r="M19" s="57"/>
      <c r="N19" s="58"/>
      <c r="O19" s="57"/>
      <c r="P19" s="58"/>
      <c r="Q19" s="57"/>
      <c r="R19" s="58"/>
      <c r="S19" s="57"/>
      <c r="T19" s="58"/>
      <c r="U19" s="57"/>
      <c r="V19" s="58"/>
      <c r="W19" s="57"/>
      <c r="X19" s="58"/>
      <c r="Y19" s="57"/>
      <c r="Z19" s="58"/>
      <c r="AA19" s="57"/>
      <c r="AB19" s="58"/>
      <c r="AC19" s="57"/>
      <c r="AD19" s="58"/>
      <c r="AE19" s="57"/>
      <c r="AF19" s="58"/>
      <c r="AG19" s="57"/>
      <c r="AH19" s="58"/>
      <c r="AI19" s="57"/>
      <c r="AJ19" s="58"/>
      <c r="AK19" s="57"/>
      <c r="AL19" s="58"/>
      <c r="AM19" s="57"/>
      <c r="AN19" s="58"/>
      <c r="AO19" s="57"/>
      <c r="AP19" s="58"/>
      <c r="AQ19" s="57"/>
      <c r="AR19" s="58"/>
      <c r="AS19" s="57"/>
      <c r="AT19" s="58"/>
      <c r="AU19" s="57"/>
      <c r="AV19" s="58"/>
      <c r="AW19" s="57"/>
      <c r="AX19" s="58"/>
      <c r="AY19" s="57"/>
      <c r="AZ19" s="58"/>
      <c r="BA19" s="57"/>
      <c r="BB19" s="58"/>
      <c r="BC19" s="57"/>
      <c r="BD19" s="58"/>
      <c r="BE19" s="57"/>
      <c r="BF19" s="58"/>
    </row>
    <row r="20" spans="2:58" ht="39.950000000000003" customHeight="1" x14ac:dyDescent="0.2">
      <c r="B20" s="59">
        <v>13</v>
      </c>
      <c r="C20" s="52" t="str">
        <f>IF('6. Prioritization'!C19="","",'6. Prioritization'!C19)</f>
        <v>Integrate Patch Management &amp; Vulnerability Scanning Automation</v>
      </c>
      <c r="D20" s="51">
        <f>IF('6. Prioritization'!N19="","",'6. Prioritization'!N19)</f>
        <v>1</v>
      </c>
      <c r="E20" s="352" t="s">
        <v>471</v>
      </c>
      <c r="F20" s="53">
        <f>IF('6. Prioritization'!$R19="", "", '6. Prioritization'!$R19)</f>
        <v>120</v>
      </c>
      <c r="G20" s="53" t="s">
        <v>463</v>
      </c>
      <c r="H20" s="53">
        <v>2025</v>
      </c>
      <c r="I20" s="53">
        <v>4</v>
      </c>
      <c r="K20" s="57"/>
      <c r="L20" s="58"/>
      <c r="M20" s="57"/>
      <c r="N20" s="58"/>
      <c r="O20" s="57"/>
      <c r="P20" s="58"/>
      <c r="Q20" s="57"/>
      <c r="R20" s="58"/>
      <c r="S20" s="57"/>
      <c r="T20" s="58"/>
      <c r="U20" s="57"/>
      <c r="V20" s="58"/>
      <c r="W20" s="57"/>
      <c r="X20" s="58"/>
      <c r="Y20" s="57"/>
      <c r="Z20" s="58"/>
      <c r="AA20" s="57"/>
      <c r="AB20" s="58"/>
      <c r="AC20" s="57"/>
      <c r="AD20" s="58"/>
      <c r="AE20" s="57"/>
      <c r="AF20" s="58"/>
      <c r="AG20" s="57"/>
      <c r="AH20" s="58"/>
      <c r="AI20" s="57"/>
      <c r="AJ20" s="58"/>
      <c r="AK20" s="57"/>
      <c r="AL20" s="58"/>
      <c r="AM20" s="57"/>
      <c r="AN20" s="58"/>
      <c r="AO20" s="57"/>
      <c r="AP20" s="58"/>
      <c r="AQ20" s="57"/>
      <c r="AR20" s="58"/>
      <c r="AS20" s="57"/>
      <c r="AT20" s="58"/>
      <c r="AU20" s="57"/>
      <c r="AV20" s="58"/>
      <c r="AW20" s="57"/>
      <c r="AX20" s="58"/>
      <c r="AY20" s="57"/>
      <c r="AZ20" s="58"/>
      <c r="BA20" s="57"/>
      <c r="BB20" s="58"/>
      <c r="BC20" s="57"/>
      <c r="BD20" s="58"/>
      <c r="BE20" s="57"/>
      <c r="BF20" s="58"/>
    </row>
    <row r="21" spans="2:58" ht="39.950000000000003" customHeight="1" x14ac:dyDescent="0.2">
      <c r="B21" s="56">
        <v>14</v>
      </c>
      <c r="C21" s="27" t="str">
        <f>IF('6. Prioritization'!C20="","",'6. Prioritization'!C20)</f>
        <v>Launch Responsible Disclosure &amp; Bug Bounty Program</v>
      </c>
      <c r="D21" s="56">
        <f>IF('6. Prioritization'!N20="","",'6. Prioritization'!N20)</f>
        <v>3</v>
      </c>
      <c r="E21" s="352" t="s">
        <v>472</v>
      </c>
      <c r="F21" s="53">
        <f>IF('6. Prioritization'!$R20="", "", '6. Prioritization'!$R20)</f>
        <v>30</v>
      </c>
      <c r="G21" s="53" t="s">
        <v>465</v>
      </c>
      <c r="H21" s="53">
        <v>2026</v>
      </c>
      <c r="I21" s="53">
        <v>2</v>
      </c>
      <c r="K21" s="57"/>
      <c r="L21" s="58"/>
      <c r="M21" s="57"/>
      <c r="N21" s="58"/>
      <c r="O21" s="57"/>
      <c r="P21" s="58"/>
      <c r="Q21" s="57"/>
      <c r="R21" s="58"/>
      <c r="S21" s="57"/>
      <c r="T21" s="58"/>
      <c r="U21" s="57"/>
      <c r="V21" s="58"/>
      <c r="W21" s="57"/>
      <c r="X21" s="58"/>
      <c r="Y21" s="57"/>
      <c r="Z21" s="58"/>
      <c r="AA21" s="57"/>
      <c r="AB21" s="58"/>
      <c r="AC21" s="57"/>
      <c r="AD21" s="58"/>
      <c r="AE21" s="57"/>
      <c r="AF21" s="58"/>
      <c r="AG21" s="57"/>
      <c r="AH21" s="58"/>
      <c r="AI21" s="57"/>
      <c r="AJ21" s="58"/>
      <c r="AK21" s="57"/>
      <c r="AL21" s="58"/>
      <c r="AM21" s="57"/>
      <c r="AN21" s="58"/>
      <c r="AO21" s="57"/>
      <c r="AP21" s="58"/>
      <c r="AQ21" s="57"/>
      <c r="AR21" s="58"/>
      <c r="AS21" s="57"/>
      <c r="AT21" s="58"/>
      <c r="AU21" s="57"/>
      <c r="AV21" s="58"/>
      <c r="AW21" s="57"/>
      <c r="AX21" s="58"/>
      <c r="AY21" s="57"/>
      <c r="AZ21" s="58"/>
      <c r="BA21" s="57"/>
      <c r="BB21" s="58"/>
      <c r="BC21" s="57"/>
      <c r="BD21" s="58"/>
      <c r="BE21" s="57"/>
      <c r="BF21" s="58"/>
    </row>
    <row r="22" spans="2:58" ht="39.950000000000003" customHeight="1" x14ac:dyDescent="0.2">
      <c r="B22" s="59">
        <v>15</v>
      </c>
      <c r="C22" s="52" t="str">
        <f>IF('6. Prioritization'!C21="","",'6. Prioritization'!C21)</f>
        <v>Develop AI Risk Governance Framework</v>
      </c>
      <c r="D22" s="51">
        <f>IF('6. Prioritization'!N21="","",'6. Prioritization'!N21)</f>
        <v>4</v>
      </c>
      <c r="E22" s="352" t="s">
        <v>474</v>
      </c>
      <c r="F22" s="53">
        <f>IF('6. Prioritization'!$R21="", "", '6. Prioritization'!$R21)</f>
        <v>120</v>
      </c>
      <c r="G22" s="53" t="s">
        <v>462</v>
      </c>
      <c r="H22" s="53">
        <v>2027</v>
      </c>
      <c r="I22" s="53">
        <v>3</v>
      </c>
      <c r="K22" s="57"/>
      <c r="L22" s="58"/>
      <c r="M22" s="57"/>
      <c r="N22" s="58"/>
      <c r="O22" s="57"/>
      <c r="P22" s="58"/>
      <c r="Q22" s="57"/>
      <c r="R22" s="58"/>
      <c r="S22" s="57"/>
      <c r="T22" s="58"/>
      <c r="U22" s="57"/>
      <c r="V22" s="58"/>
      <c r="W22" s="57"/>
      <c r="X22" s="58"/>
      <c r="Y22" s="57"/>
      <c r="Z22" s="58"/>
      <c r="AA22" s="57"/>
      <c r="AB22" s="58"/>
      <c r="AC22" s="57"/>
      <c r="AD22" s="58"/>
      <c r="AE22" s="57"/>
      <c r="AF22" s="58"/>
      <c r="AG22" s="57"/>
      <c r="AH22" s="58"/>
      <c r="AI22" s="57"/>
      <c r="AJ22" s="58"/>
      <c r="AK22" s="57"/>
      <c r="AL22" s="58"/>
      <c r="AM22" s="57"/>
      <c r="AN22" s="58"/>
      <c r="AO22" s="57"/>
      <c r="AP22" s="58"/>
      <c r="AQ22" s="57"/>
      <c r="AR22" s="58"/>
      <c r="AS22" s="57"/>
      <c r="AT22" s="58"/>
      <c r="AU22" s="57"/>
      <c r="AV22" s="58"/>
      <c r="AW22" s="57"/>
      <c r="AX22" s="58"/>
      <c r="AY22" s="57"/>
      <c r="AZ22" s="58"/>
      <c r="BA22" s="57"/>
      <c r="BB22" s="58"/>
      <c r="BC22" s="57"/>
      <c r="BD22" s="58"/>
      <c r="BE22" s="57"/>
      <c r="BF22" s="58"/>
    </row>
    <row r="23" spans="2:58" ht="39.950000000000003" customHeight="1" x14ac:dyDescent="0.2">
      <c r="B23" s="56">
        <v>16</v>
      </c>
      <c r="C23" s="56" t="str">
        <f>IF('6. Prioritization'!C22="","",'6. Prioritization'!C22)</f>
        <v/>
      </c>
      <c r="D23" s="56" t="str">
        <f>IF('6. Prioritization'!N22="","",'6. Prioritization'!N22)</f>
        <v/>
      </c>
      <c r="E23" s="352" t="str">
        <f>IF('6. Prioritization'!R22="", "", '6. Prioritization'!R22)</f>
        <v/>
      </c>
      <c r="F23" s="53" t="str">
        <f>IF('6. Prioritization'!$R22="", "", '6. Prioritization'!$R22)</f>
        <v/>
      </c>
      <c r="G23" s="53"/>
      <c r="H23" s="53"/>
      <c r="I23" s="53"/>
      <c r="K23" s="57"/>
      <c r="L23" s="58"/>
      <c r="M23" s="57"/>
      <c r="N23" s="58"/>
      <c r="O23" s="57"/>
      <c r="P23" s="58"/>
      <c r="Q23" s="57"/>
      <c r="R23" s="58"/>
      <c r="S23" s="57"/>
      <c r="T23" s="58"/>
      <c r="U23" s="57"/>
      <c r="V23" s="58"/>
      <c r="W23" s="57"/>
      <c r="X23" s="58"/>
      <c r="Y23" s="57"/>
      <c r="Z23" s="58"/>
      <c r="AA23" s="57"/>
      <c r="AB23" s="58"/>
      <c r="AC23" s="57"/>
      <c r="AD23" s="58"/>
      <c r="AE23" s="57"/>
      <c r="AF23" s="58"/>
      <c r="AG23" s="57"/>
      <c r="AH23" s="58"/>
      <c r="AI23" s="57"/>
      <c r="AJ23" s="58"/>
      <c r="AK23" s="57"/>
      <c r="AL23" s="58"/>
      <c r="AM23" s="57"/>
      <c r="AN23" s="58"/>
      <c r="AO23" s="57"/>
      <c r="AP23" s="58"/>
      <c r="AQ23" s="57"/>
      <c r="AR23" s="58"/>
      <c r="AS23" s="57"/>
      <c r="AT23" s="58"/>
      <c r="AU23" s="57"/>
      <c r="AV23" s="58"/>
      <c r="AW23" s="57"/>
      <c r="AX23" s="58"/>
      <c r="AY23" s="57"/>
      <c r="AZ23" s="58"/>
      <c r="BA23" s="57"/>
      <c r="BB23" s="58"/>
      <c r="BC23" s="57"/>
      <c r="BD23" s="58"/>
      <c r="BE23" s="57"/>
      <c r="BF23" s="58"/>
    </row>
    <row r="24" spans="2:58" ht="39.950000000000003" customHeight="1" x14ac:dyDescent="0.2">
      <c r="B24" s="59">
        <v>17</v>
      </c>
      <c r="C24" s="52" t="str">
        <f>IF('6. Prioritization'!C23="","",'6. Prioritization'!C23)</f>
        <v/>
      </c>
      <c r="D24" s="51" t="str">
        <f>IF('6. Prioritization'!N23="","",'6. Prioritization'!N23)</f>
        <v/>
      </c>
      <c r="E24" s="352" t="str">
        <f>IF('6. Prioritization'!R23="", "", '6. Prioritization'!R23)</f>
        <v/>
      </c>
      <c r="F24" s="53" t="str">
        <f>IF('6. Prioritization'!$R23="", "", '6. Prioritization'!$R23)</f>
        <v/>
      </c>
      <c r="G24" s="53"/>
      <c r="H24" s="53"/>
      <c r="I24" s="53"/>
      <c r="K24" s="57"/>
      <c r="L24" s="58"/>
      <c r="M24" s="57"/>
      <c r="N24" s="58"/>
      <c r="O24" s="57"/>
      <c r="P24" s="58"/>
      <c r="Q24" s="57"/>
      <c r="R24" s="58"/>
      <c r="S24" s="57"/>
      <c r="T24" s="58"/>
      <c r="U24" s="57"/>
      <c r="V24" s="58"/>
      <c r="W24" s="57"/>
      <c r="X24" s="58"/>
      <c r="Y24" s="57"/>
      <c r="Z24" s="58"/>
      <c r="AA24" s="57"/>
      <c r="AB24" s="58"/>
      <c r="AC24" s="57"/>
      <c r="AD24" s="58"/>
      <c r="AE24" s="57"/>
      <c r="AF24" s="58"/>
      <c r="AG24" s="57"/>
      <c r="AH24" s="58"/>
      <c r="AI24" s="57"/>
      <c r="AJ24" s="58"/>
      <c r="AK24" s="57"/>
      <c r="AL24" s="58"/>
      <c r="AM24" s="57"/>
      <c r="AN24" s="58"/>
      <c r="AO24" s="57"/>
      <c r="AP24" s="58"/>
      <c r="AQ24" s="57"/>
      <c r="AR24" s="58"/>
      <c r="AS24" s="57"/>
      <c r="AT24" s="58"/>
      <c r="AU24" s="57"/>
      <c r="AV24" s="58"/>
      <c r="AW24" s="57"/>
      <c r="AX24" s="58"/>
      <c r="AY24" s="57"/>
      <c r="AZ24" s="58"/>
      <c r="BA24" s="57"/>
      <c r="BB24" s="58"/>
      <c r="BC24" s="57"/>
      <c r="BD24" s="58"/>
      <c r="BE24" s="57"/>
      <c r="BF24" s="58"/>
    </row>
    <row r="25" spans="2:58" ht="39.950000000000003" customHeight="1" x14ac:dyDescent="0.2">
      <c r="B25" s="56">
        <v>18</v>
      </c>
      <c r="C25" s="56" t="str">
        <f>IF('6. Prioritization'!C24="","",'6. Prioritization'!C24)</f>
        <v/>
      </c>
      <c r="D25" s="56" t="str">
        <f>IF('6. Prioritization'!N24="","",'6. Prioritization'!N24)</f>
        <v/>
      </c>
      <c r="E25" s="352" t="str">
        <f>IF('6. Prioritization'!R24="", "", '6. Prioritization'!R24)</f>
        <v/>
      </c>
      <c r="F25" s="53" t="str">
        <f>IF('6. Prioritization'!$R24="", "", '6. Prioritization'!$R24)</f>
        <v/>
      </c>
      <c r="G25" s="53"/>
      <c r="H25" s="53"/>
      <c r="I25" s="53"/>
      <c r="K25" s="57"/>
      <c r="L25" s="58"/>
      <c r="M25" s="57"/>
      <c r="N25" s="58"/>
      <c r="O25" s="57"/>
      <c r="P25" s="58"/>
      <c r="Q25" s="57"/>
      <c r="R25" s="58"/>
      <c r="S25" s="57"/>
      <c r="T25" s="58"/>
      <c r="U25" s="57"/>
      <c r="V25" s="58"/>
      <c r="W25" s="57"/>
      <c r="X25" s="58"/>
      <c r="Y25" s="57"/>
      <c r="Z25" s="58"/>
      <c r="AA25" s="57"/>
      <c r="AB25" s="58"/>
      <c r="AC25" s="57"/>
      <c r="AD25" s="58"/>
      <c r="AE25" s="57"/>
      <c r="AF25" s="58"/>
      <c r="AG25" s="57"/>
      <c r="AH25" s="58"/>
      <c r="AI25" s="57"/>
      <c r="AJ25" s="58"/>
      <c r="AK25" s="57"/>
      <c r="AL25" s="58"/>
      <c r="AM25" s="57"/>
      <c r="AN25" s="58"/>
      <c r="AO25" s="57"/>
      <c r="AP25" s="58"/>
      <c r="AQ25" s="57"/>
      <c r="AR25" s="58"/>
      <c r="AS25" s="57"/>
      <c r="AT25" s="58"/>
      <c r="AU25" s="57"/>
      <c r="AV25" s="58"/>
      <c r="AW25" s="57"/>
      <c r="AX25" s="58"/>
      <c r="AY25" s="57"/>
      <c r="AZ25" s="58"/>
      <c r="BA25" s="57"/>
      <c r="BB25" s="58"/>
      <c r="BC25" s="57"/>
      <c r="BD25" s="58"/>
      <c r="BE25" s="57"/>
      <c r="BF25" s="58"/>
    </row>
    <row r="26" spans="2:58" ht="39.950000000000003" customHeight="1" x14ac:dyDescent="0.2">
      <c r="B26" s="59">
        <v>19</v>
      </c>
      <c r="C26" s="52" t="str">
        <f>IF('6. Prioritization'!C25="","",'6. Prioritization'!C25)</f>
        <v/>
      </c>
      <c r="D26" s="51" t="str">
        <f>IF('6. Prioritization'!N25="","",'6. Prioritization'!N25)</f>
        <v/>
      </c>
      <c r="E26" s="352" t="str">
        <f>IF('6. Prioritization'!R25="", "", '6. Prioritization'!R25)</f>
        <v/>
      </c>
      <c r="F26" s="53" t="str">
        <f>IF('6. Prioritization'!$R25="", "", '6. Prioritization'!$R25)</f>
        <v/>
      </c>
      <c r="G26" s="53"/>
      <c r="H26" s="53"/>
      <c r="I26" s="53"/>
      <c r="K26" s="57"/>
      <c r="L26" s="58"/>
      <c r="M26" s="57"/>
      <c r="N26" s="58"/>
      <c r="O26" s="57"/>
      <c r="P26" s="58"/>
      <c r="Q26" s="57"/>
      <c r="R26" s="58"/>
      <c r="S26" s="57"/>
      <c r="T26" s="58"/>
      <c r="U26" s="57"/>
      <c r="V26" s="58"/>
      <c r="W26" s="57"/>
      <c r="X26" s="58"/>
      <c r="Y26" s="57"/>
      <c r="Z26" s="58"/>
      <c r="AA26" s="57"/>
      <c r="AB26" s="58"/>
      <c r="AC26" s="57"/>
      <c r="AD26" s="58"/>
      <c r="AE26" s="57"/>
      <c r="AF26" s="58"/>
      <c r="AG26" s="57"/>
      <c r="AH26" s="58"/>
      <c r="AI26" s="57"/>
      <c r="AJ26" s="58"/>
      <c r="AK26" s="57"/>
      <c r="AL26" s="58"/>
      <c r="AM26" s="57"/>
      <c r="AN26" s="58"/>
      <c r="AO26" s="57"/>
      <c r="AP26" s="58"/>
      <c r="AQ26" s="57"/>
      <c r="AR26" s="58"/>
      <c r="AS26" s="57"/>
      <c r="AT26" s="58"/>
      <c r="AU26" s="57"/>
      <c r="AV26" s="58"/>
      <c r="AW26" s="57"/>
      <c r="AX26" s="58"/>
      <c r="AY26" s="57"/>
      <c r="AZ26" s="58"/>
      <c r="BA26" s="57"/>
      <c r="BB26" s="58"/>
      <c r="BC26" s="57"/>
      <c r="BD26" s="58"/>
      <c r="BE26" s="57"/>
      <c r="BF26" s="58"/>
    </row>
    <row r="27" spans="2:58" ht="39.950000000000003" customHeight="1" x14ac:dyDescent="0.2">
      <c r="B27" s="56">
        <v>20</v>
      </c>
      <c r="C27" s="56" t="str">
        <f>IF('6. Prioritization'!C26="","",'6. Prioritization'!C26)</f>
        <v/>
      </c>
      <c r="D27" s="56" t="str">
        <f>IF('6. Prioritization'!N26="","",'6. Prioritization'!N26)</f>
        <v/>
      </c>
      <c r="E27" s="352" t="str">
        <f>IF('6. Prioritization'!R26="", "", '6. Prioritization'!R26)</f>
        <v/>
      </c>
      <c r="F27" s="53" t="str">
        <f>IF('6. Prioritization'!$R26="", "", '6. Prioritization'!$R26)</f>
        <v/>
      </c>
      <c r="G27" s="53"/>
      <c r="H27" s="53"/>
      <c r="I27" s="53"/>
      <c r="K27" s="57"/>
      <c r="L27" s="58"/>
      <c r="M27" s="57"/>
      <c r="N27" s="58"/>
      <c r="O27" s="57"/>
      <c r="P27" s="58"/>
      <c r="Q27" s="57"/>
      <c r="R27" s="58"/>
      <c r="S27" s="57"/>
      <c r="T27" s="58"/>
      <c r="U27" s="57"/>
      <c r="V27" s="58"/>
      <c r="W27" s="57"/>
      <c r="X27" s="58"/>
      <c r="Y27" s="57"/>
      <c r="Z27" s="58"/>
      <c r="AA27" s="57"/>
      <c r="AB27" s="58"/>
      <c r="AC27" s="57"/>
      <c r="AD27" s="58"/>
      <c r="AE27" s="57"/>
      <c r="AF27" s="58"/>
      <c r="AG27" s="57"/>
      <c r="AH27" s="58"/>
      <c r="AI27" s="57"/>
      <c r="AJ27" s="58"/>
      <c r="AK27" s="57"/>
      <c r="AL27" s="58"/>
      <c r="AM27" s="57"/>
      <c r="AN27" s="58"/>
      <c r="AO27" s="57"/>
      <c r="AP27" s="58"/>
      <c r="AQ27" s="57"/>
      <c r="AR27" s="58"/>
      <c r="AS27" s="57"/>
      <c r="AT27" s="58"/>
      <c r="AU27" s="57"/>
      <c r="AV27" s="58"/>
      <c r="AW27" s="57"/>
      <c r="AX27" s="58"/>
      <c r="AY27" s="57"/>
      <c r="AZ27" s="58"/>
      <c r="BA27" s="57"/>
      <c r="BB27" s="58"/>
      <c r="BC27" s="57"/>
      <c r="BD27" s="58"/>
      <c r="BE27" s="57"/>
      <c r="BF27" s="58"/>
    </row>
    <row r="28" spans="2:58" ht="39.950000000000003" customHeight="1" x14ac:dyDescent="0.2">
      <c r="B28" s="59">
        <v>21</v>
      </c>
      <c r="C28" s="52" t="str">
        <f>IF('6. Prioritization'!C27="","",'6. Prioritization'!C27)</f>
        <v/>
      </c>
      <c r="D28" s="51" t="str">
        <f>IF('6. Prioritization'!N27="","",'6. Prioritization'!N27)</f>
        <v/>
      </c>
      <c r="E28" s="352" t="str">
        <f>IF('6. Prioritization'!R27="", "", '6. Prioritization'!R27)</f>
        <v/>
      </c>
      <c r="F28" s="53" t="str">
        <f>IF('6. Prioritization'!$R27="", "", '6. Prioritization'!$R27)</f>
        <v/>
      </c>
      <c r="G28" s="53"/>
      <c r="H28" s="53"/>
      <c r="I28" s="53"/>
      <c r="K28" s="57"/>
      <c r="L28" s="58"/>
      <c r="M28" s="57"/>
      <c r="N28" s="58"/>
      <c r="O28" s="57"/>
      <c r="P28" s="58"/>
      <c r="Q28" s="57"/>
      <c r="R28" s="58"/>
      <c r="S28" s="57"/>
      <c r="T28" s="58"/>
      <c r="U28" s="57"/>
      <c r="V28" s="58"/>
      <c r="W28" s="57"/>
      <c r="X28" s="58"/>
      <c r="Y28" s="57"/>
      <c r="Z28" s="58"/>
      <c r="AA28" s="57"/>
      <c r="AB28" s="58"/>
      <c r="AC28" s="57"/>
      <c r="AD28" s="58"/>
      <c r="AE28" s="57"/>
      <c r="AF28" s="58"/>
      <c r="AG28" s="57"/>
      <c r="AH28" s="58"/>
      <c r="AI28" s="57"/>
      <c r="AJ28" s="58"/>
      <c r="AK28" s="57"/>
      <c r="AL28" s="58"/>
      <c r="AM28" s="57"/>
      <c r="AN28" s="58"/>
      <c r="AO28" s="57"/>
      <c r="AP28" s="58"/>
      <c r="AQ28" s="57"/>
      <c r="AR28" s="58"/>
      <c r="AS28" s="57"/>
      <c r="AT28" s="58"/>
      <c r="AU28" s="57"/>
      <c r="AV28" s="58"/>
      <c r="AW28" s="57"/>
      <c r="AX28" s="58"/>
      <c r="AY28" s="57"/>
      <c r="AZ28" s="58"/>
      <c r="BA28" s="57"/>
      <c r="BB28" s="58"/>
      <c r="BC28" s="57"/>
      <c r="BD28" s="58"/>
      <c r="BE28" s="57"/>
      <c r="BF28" s="58"/>
    </row>
    <row r="29" spans="2:58" ht="39.950000000000003" customHeight="1" x14ac:dyDescent="0.2">
      <c r="B29" s="56">
        <v>22</v>
      </c>
      <c r="C29" s="56" t="str">
        <f>IF('6. Prioritization'!C28="","",'6. Prioritization'!C28)</f>
        <v/>
      </c>
      <c r="D29" s="56" t="str">
        <f>IF('6. Prioritization'!N28="","",'6. Prioritization'!N28)</f>
        <v/>
      </c>
      <c r="E29" s="352" t="str">
        <f>IF('6. Prioritization'!R28="", "", '6. Prioritization'!R28)</f>
        <v/>
      </c>
      <c r="F29" s="53" t="str">
        <f>IF('6. Prioritization'!$R28="", "", '6. Prioritization'!$R28)</f>
        <v/>
      </c>
      <c r="G29" s="53"/>
      <c r="H29" s="53"/>
      <c r="I29" s="53"/>
      <c r="K29" s="57"/>
      <c r="L29" s="58"/>
      <c r="M29" s="57"/>
      <c r="N29" s="58"/>
      <c r="O29" s="57"/>
      <c r="P29" s="58"/>
      <c r="Q29" s="57"/>
      <c r="R29" s="58"/>
      <c r="S29" s="57"/>
      <c r="T29" s="58"/>
      <c r="U29" s="57"/>
      <c r="V29" s="58"/>
      <c r="W29" s="57"/>
      <c r="X29" s="58"/>
      <c r="Y29" s="57"/>
      <c r="Z29" s="58"/>
      <c r="AA29" s="57"/>
      <c r="AB29" s="58"/>
      <c r="AC29" s="57"/>
      <c r="AD29" s="58"/>
      <c r="AE29" s="57"/>
      <c r="AF29" s="58"/>
      <c r="AG29" s="57"/>
      <c r="AH29" s="58"/>
      <c r="AI29" s="57"/>
      <c r="AJ29" s="58"/>
      <c r="AK29" s="57"/>
      <c r="AL29" s="58"/>
      <c r="AM29" s="57"/>
      <c r="AN29" s="58"/>
      <c r="AO29" s="57"/>
      <c r="AP29" s="58"/>
      <c r="AQ29" s="57"/>
      <c r="AR29" s="58"/>
      <c r="AS29" s="57"/>
      <c r="AT29" s="58"/>
      <c r="AU29" s="57"/>
      <c r="AV29" s="58"/>
      <c r="AW29" s="57"/>
      <c r="AX29" s="58"/>
      <c r="AY29" s="57"/>
      <c r="AZ29" s="58"/>
      <c r="BA29" s="57"/>
      <c r="BB29" s="58"/>
      <c r="BC29" s="57"/>
      <c r="BD29" s="58"/>
      <c r="BE29" s="57"/>
      <c r="BF29" s="58"/>
    </row>
    <row r="30" spans="2:58" ht="39.950000000000003" customHeight="1" x14ac:dyDescent="0.2">
      <c r="B30" s="59">
        <v>23</v>
      </c>
      <c r="C30" s="52" t="str">
        <f>IF('6. Prioritization'!C29="","",'6. Prioritization'!C29)</f>
        <v/>
      </c>
      <c r="D30" s="51" t="str">
        <f>IF('6. Prioritization'!N29="","",'6. Prioritization'!N29)</f>
        <v/>
      </c>
      <c r="E30" s="352" t="str">
        <f>IF('6. Prioritization'!R29="", "", '6. Prioritization'!R29)</f>
        <v/>
      </c>
      <c r="F30" s="53" t="str">
        <f>IF('6. Prioritization'!$R29="", "", '6. Prioritization'!$R29)</f>
        <v/>
      </c>
      <c r="G30" s="53"/>
      <c r="H30" s="53"/>
      <c r="I30" s="53"/>
      <c r="K30" s="57"/>
      <c r="L30" s="58"/>
      <c r="M30" s="57"/>
      <c r="N30" s="58"/>
      <c r="O30" s="57"/>
      <c r="P30" s="58"/>
      <c r="Q30" s="57"/>
      <c r="R30" s="58"/>
      <c r="S30" s="57"/>
      <c r="T30" s="58"/>
      <c r="U30" s="57"/>
      <c r="V30" s="58"/>
      <c r="W30" s="57"/>
      <c r="X30" s="58"/>
      <c r="Y30" s="57"/>
      <c r="Z30" s="58"/>
      <c r="AA30" s="57"/>
      <c r="AB30" s="58"/>
      <c r="AC30" s="57"/>
      <c r="AD30" s="58"/>
      <c r="AE30" s="57"/>
      <c r="AF30" s="58"/>
      <c r="AG30" s="57"/>
      <c r="AH30" s="58"/>
      <c r="AI30" s="57"/>
      <c r="AJ30" s="58"/>
      <c r="AK30" s="57"/>
      <c r="AL30" s="58"/>
      <c r="AM30" s="57"/>
      <c r="AN30" s="58"/>
      <c r="AO30" s="57"/>
      <c r="AP30" s="58"/>
      <c r="AQ30" s="57"/>
      <c r="AR30" s="58"/>
      <c r="AS30" s="57"/>
      <c r="AT30" s="58"/>
      <c r="AU30" s="57"/>
      <c r="AV30" s="58"/>
      <c r="AW30" s="57"/>
      <c r="AX30" s="58"/>
      <c r="AY30" s="57"/>
      <c r="AZ30" s="58"/>
      <c r="BA30" s="57"/>
      <c r="BB30" s="58"/>
      <c r="BC30" s="57"/>
      <c r="BD30" s="58"/>
      <c r="BE30" s="57"/>
      <c r="BF30" s="58"/>
    </row>
    <row r="31" spans="2:58" ht="39.950000000000003" customHeight="1" x14ac:dyDescent="0.2">
      <c r="B31" s="56">
        <v>24</v>
      </c>
      <c r="C31" s="56" t="str">
        <f>IF('6. Prioritization'!C30="","",'6. Prioritization'!C30)</f>
        <v/>
      </c>
      <c r="D31" s="56" t="str">
        <f>IF('6. Prioritization'!N30="","",'6. Prioritization'!N30)</f>
        <v/>
      </c>
      <c r="E31" s="352" t="str">
        <f>IF('6. Prioritization'!R30="", "", '6. Prioritization'!R30)</f>
        <v/>
      </c>
      <c r="F31" s="53" t="str">
        <f>IF('6. Prioritization'!$R30="", "", '6. Prioritization'!$R30)</f>
        <v/>
      </c>
      <c r="G31" s="53"/>
      <c r="H31" s="53"/>
      <c r="I31" s="53"/>
      <c r="K31" s="57"/>
      <c r="L31" s="58"/>
      <c r="M31" s="57"/>
      <c r="N31" s="58"/>
      <c r="O31" s="57"/>
      <c r="P31" s="58"/>
      <c r="Q31" s="57"/>
      <c r="R31" s="58"/>
      <c r="S31" s="57"/>
      <c r="T31" s="58"/>
      <c r="U31" s="57"/>
      <c r="V31" s="58"/>
      <c r="W31" s="57"/>
      <c r="X31" s="58"/>
      <c r="Y31" s="57"/>
      <c r="Z31" s="58"/>
      <c r="AA31" s="57"/>
      <c r="AB31" s="58"/>
      <c r="AC31" s="57"/>
      <c r="AD31" s="58"/>
      <c r="AE31" s="57"/>
      <c r="AF31" s="58"/>
      <c r="AG31" s="57"/>
      <c r="AH31" s="58"/>
      <c r="AI31" s="57"/>
      <c r="AJ31" s="58"/>
      <c r="AK31" s="57"/>
      <c r="AL31" s="58"/>
      <c r="AM31" s="57"/>
      <c r="AN31" s="58"/>
      <c r="AO31" s="57"/>
      <c r="AP31" s="58"/>
      <c r="AQ31" s="57"/>
      <c r="AR31" s="58"/>
      <c r="AS31" s="57"/>
      <c r="AT31" s="58"/>
      <c r="AU31" s="57"/>
      <c r="AV31" s="58"/>
      <c r="AW31" s="57"/>
      <c r="AX31" s="58"/>
      <c r="AY31" s="57"/>
      <c r="AZ31" s="58"/>
      <c r="BA31" s="57"/>
      <c r="BB31" s="58"/>
      <c r="BC31" s="57"/>
      <c r="BD31" s="58"/>
      <c r="BE31" s="57"/>
      <c r="BF31" s="58"/>
    </row>
    <row r="32" spans="2:58" ht="39.950000000000003" customHeight="1" x14ac:dyDescent="0.2">
      <c r="B32" s="59">
        <v>25</v>
      </c>
      <c r="C32" s="52" t="str">
        <f>IF('6. Prioritization'!C31="","",'6. Prioritization'!C31)</f>
        <v/>
      </c>
      <c r="D32" s="51" t="str">
        <f>IF('6. Prioritization'!N31="","",'6. Prioritization'!N31)</f>
        <v/>
      </c>
      <c r="E32" s="352" t="str">
        <f>IF('6. Prioritization'!R31="", "", '6. Prioritization'!R31)</f>
        <v/>
      </c>
      <c r="F32" s="53" t="str">
        <f>IF('6. Prioritization'!$R31="", "", '6. Prioritization'!$R31)</f>
        <v/>
      </c>
      <c r="G32" s="53"/>
      <c r="H32" s="53"/>
      <c r="I32" s="53"/>
      <c r="K32" s="57"/>
      <c r="L32" s="58"/>
      <c r="M32" s="57"/>
      <c r="N32" s="58"/>
      <c r="O32" s="57"/>
      <c r="P32" s="58"/>
      <c r="Q32" s="57"/>
      <c r="R32" s="58"/>
      <c r="S32" s="57"/>
      <c r="T32" s="58"/>
      <c r="U32" s="57"/>
      <c r="V32" s="58"/>
      <c r="W32" s="57"/>
      <c r="X32" s="58"/>
      <c r="Y32" s="57"/>
      <c r="Z32" s="58"/>
      <c r="AA32" s="57"/>
      <c r="AB32" s="58"/>
      <c r="AC32" s="57"/>
      <c r="AD32" s="58"/>
      <c r="AE32" s="57"/>
      <c r="AF32" s="58"/>
      <c r="AG32" s="57"/>
      <c r="AH32" s="58"/>
      <c r="AI32" s="57"/>
      <c r="AJ32" s="58"/>
      <c r="AK32" s="57"/>
      <c r="AL32" s="58"/>
      <c r="AM32" s="57"/>
      <c r="AN32" s="58"/>
      <c r="AO32" s="57"/>
      <c r="AP32" s="58"/>
      <c r="AQ32" s="57"/>
      <c r="AR32" s="58"/>
      <c r="AS32" s="57"/>
      <c r="AT32" s="58"/>
      <c r="AU32" s="57"/>
      <c r="AV32" s="58"/>
      <c r="AW32" s="57"/>
      <c r="AX32" s="58"/>
      <c r="AY32" s="57"/>
      <c r="AZ32" s="58"/>
      <c r="BA32" s="57"/>
      <c r="BB32" s="58"/>
      <c r="BC32" s="57"/>
      <c r="BD32" s="58"/>
      <c r="BE32" s="57"/>
      <c r="BF32" s="58"/>
    </row>
    <row r="33" spans="2:58" ht="39.950000000000003" customHeight="1" x14ac:dyDescent="0.2">
      <c r="B33" s="56">
        <v>26</v>
      </c>
      <c r="C33" s="56" t="str">
        <f>IF('6. Prioritization'!C32="","",'6. Prioritization'!C32)</f>
        <v/>
      </c>
      <c r="D33" s="56" t="str">
        <f>IF('6. Prioritization'!N32="","",'6. Prioritization'!N32)</f>
        <v/>
      </c>
      <c r="E33" s="352" t="str">
        <f>IF('6. Prioritization'!R32="", "", '6. Prioritization'!R32)</f>
        <v/>
      </c>
      <c r="F33" s="53" t="str">
        <f>IF('6. Prioritization'!$R32="", "", '6. Prioritization'!$R32)</f>
        <v/>
      </c>
      <c r="G33" s="53"/>
      <c r="H33" s="53"/>
      <c r="I33" s="53"/>
      <c r="K33" s="57"/>
      <c r="L33" s="58"/>
      <c r="M33" s="57"/>
      <c r="N33" s="58"/>
      <c r="O33" s="57"/>
      <c r="P33" s="58"/>
      <c r="Q33" s="57"/>
      <c r="R33" s="58"/>
      <c r="S33" s="57"/>
      <c r="T33" s="58"/>
      <c r="U33" s="57"/>
      <c r="V33" s="58"/>
      <c r="W33" s="57"/>
      <c r="X33" s="58"/>
      <c r="Y33" s="57"/>
      <c r="Z33" s="58"/>
      <c r="AA33" s="57"/>
      <c r="AB33" s="58"/>
      <c r="AC33" s="57"/>
      <c r="AD33" s="58"/>
      <c r="AE33" s="57"/>
      <c r="AF33" s="58"/>
      <c r="AG33" s="57"/>
      <c r="AH33" s="58"/>
      <c r="AI33" s="57"/>
      <c r="AJ33" s="58"/>
      <c r="AK33" s="57"/>
      <c r="AL33" s="58"/>
      <c r="AM33" s="57"/>
      <c r="AN33" s="58"/>
      <c r="AO33" s="57"/>
      <c r="AP33" s="58"/>
      <c r="AQ33" s="57"/>
      <c r="AR33" s="58"/>
      <c r="AS33" s="57"/>
      <c r="AT33" s="58"/>
      <c r="AU33" s="57"/>
      <c r="AV33" s="58"/>
      <c r="AW33" s="57"/>
      <c r="AX33" s="58"/>
      <c r="AY33" s="57"/>
      <c r="AZ33" s="58"/>
      <c r="BA33" s="57"/>
      <c r="BB33" s="58"/>
      <c r="BC33" s="57"/>
      <c r="BD33" s="58"/>
      <c r="BE33" s="57"/>
      <c r="BF33" s="58"/>
    </row>
    <row r="34" spans="2:58" ht="39.950000000000003" customHeight="1" x14ac:dyDescent="0.2">
      <c r="B34" s="59">
        <v>27</v>
      </c>
      <c r="C34" s="52" t="str">
        <f>IF('6. Prioritization'!C33="","",'6. Prioritization'!C33)</f>
        <v/>
      </c>
      <c r="D34" s="51" t="str">
        <f>IF('6. Prioritization'!N33="","",'6. Prioritization'!N33)</f>
        <v/>
      </c>
      <c r="E34" s="352" t="str">
        <f>IF('6. Prioritization'!R33="", "", '6. Prioritization'!R33)</f>
        <v/>
      </c>
      <c r="F34" s="53" t="str">
        <f>IF('6. Prioritization'!$R33="", "", '6. Prioritization'!$R33)</f>
        <v/>
      </c>
      <c r="G34" s="53"/>
      <c r="H34" s="53"/>
      <c r="I34" s="53"/>
      <c r="K34" s="57"/>
      <c r="L34" s="58"/>
      <c r="M34" s="57"/>
      <c r="N34" s="58"/>
      <c r="O34" s="57"/>
      <c r="P34" s="58"/>
      <c r="Q34" s="57"/>
      <c r="R34" s="58"/>
      <c r="S34" s="57"/>
      <c r="T34" s="58"/>
      <c r="U34" s="57"/>
      <c r="V34" s="58"/>
      <c r="W34" s="57"/>
      <c r="X34" s="58"/>
      <c r="Y34" s="57"/>
      <c r="Z34" s="58"/>
      <c r="AA34" s="57"/>
      <c r="AB34" s="58"/>
      <c r="AC34" s="57"/>
      <c r="AD34" s="58"/>
      <c r="AE34" s="57"/>
      <c r="AF34" s="58"/>
      <c r="AG34" s="57"/>
      <c r="AH34" s="58"/>
      <c r="AI34" s="57"/>
      <c r="AJ34" s="58"/>
      <c r="AK34" s="57"/>
      <c r="AL34" s="58"/>
      <c r="AM34" s="57"/>
      <c r="AN34" s="58"/>
      <c r="AO34" s="57"/>
      <c r="AP34" s="58"/>
      <c r="AQ34" s="57"/>
      <c r="AR34" s="58"/>
      <c r="AS34" s="57"/>
      <c r="AT34" s="58"/>
      <c r="AU34" s="57"/>
      <c r="AV34" s="58"/>
      <c r="AW34" s="57"/>
      <c r="AX34" s="58"/>
      <c r="AY34" s="57"/>
      <c r="AZ34" s="58"/>
      <c r="BA34" s="57"/>
      <c r="BB34" s="58"/>
      <c r="BC34" s="57"/>
      <c r="BD34" s="58"/>
      <c r="BE34" s="57"/>
      <c r="BF34" s="58"/>
    </row>
    <row r="35" spans="2:58" ht="39.950000000000003" customHeight="1" x14ac:dyDescent="0.2">
      <c r="B35" s="56">
        <v>28</v>
      </c>
      <c r="C35" s="56" t="str">
        <f>IF('6. Prioritization'!C34="","",'6. Prioritization'!C34)</f>
        <v/>
      </c>
      <c r="D35" s="56" t="str">
        <f>IF('6. Prioritization'!N34="","",'6. Prioritization'!N34)</f>
        <v/>
      </c>
      <c r="E35" s="352" t="str">
        <f>IF('6. Prioritization'!R34="", "", '6. Prioritization'!R34)</f>
        <v/>
      </c>
      <c r="F35" s="53" t="str">
        <f>IF('6. Prioritization'!$R34="", "", '6. Prioritization'!$R34)</f>
        <v/>
      </c>
      <c r="G35" s="53"/>
      <c r="H35" s="53"/>
      <c r="I35" s="53"/>
      <c r="K35" s="57"/>
      <c r="L35" s="58"/>
      <c r="M35" s="57"/>
      <c r="N35" s="58"/>
      <c r="O35" s="57"/>
      <c r="P35" s="58"/>
      <c r="Q35" s="57"/>
      <c r="R35" s="58"/>
      <c r="S35" s="57"/>
      <c r="T35" s="58"/>
      <c r="U35" s="57"/>
      <c r="V35" s="58"/>
      <c r="W35" s="57"/>
      <c r="X35" s="58"/>
      <c r="Y35" s="57"/>
      <c r="Z35" s="58"/>
      <c r="AA35" s="57"/>
      <c r="AB35" s="58"/>
      <c r="AC35" s="57"/>
      <c r="AD35" s="58"/>
      <c r="AE35" s="57"/>
      <c r="AF35" s="58"/>
      <c r="AG35" s="57"/>
      <c r="AH35" s="58"/>
      <c r="AI35" s="57"/>
      <c r="AJ35" s="58"/>
      <c r="AK35" s="57"/>
      <c r="AL35" s="58"/>
      <c r="AM35" s="57"/>
      <c r="AN35" s="58"/>
      <c r="AO35" s="57"/>
      <c r="AP35" s="58"/>
      <c r="AQ35" s="57"/>
      <c r="AR35" s="58"/>
      <c r="AS35" s="57"/>
      <c r="AT35" s="58"/>
      <c r="AU35" s="57"/>
      <c r="AV35" s="58"/>
      <c r="AW35" s="57"/>
      <c r="AX35" s="58"/>
      <c r="AY35" s="57"/>
      <c r="AZ35" s="58"/>
      <c r="BA35" s="57"/>
      <c r="BB35" s="58"/>
      <c r="BC35" s="57"/>
      <c r="BD35" s="58"/>
      <c r="BE35" s="57"/>
      <c r="BF35" s="58"/>
    </row>
    <row r="36" spans="2:58" ht="39.950000000000003" customHeight="1" x14ac:dyDescent="0.2">
      <c r="B36" s="59">
        <v>29</v>
      </c>
      <c r="C36" s="52" t="str">
        <f>IF('6. Prioritization'!C35="","",'6. Prioritization'!C35)</f>
        <v/>
      </c>
      <c r="D36" s="51" t="str">
        <f>IF('6. Prioritization'!N35="","",'6. Prioritization'!N35)</f>
        <v/>
      </c>
      <c r="E36" s="352" t="str">
        <f>IF('6. Prioritization'!R35="", "", '6. Prioritization'!R35)</f>
        <v/>
      </c>
      <c r="F36" s="53" t="str">
        <f>IF('6. Prioritization'!$R35="", "", '6. Prioritization'!$R35)</f>
        <v/>
      </c>
      <c r="G36" s="53"/>
      <c r="H36" s="53"/>
      <c r="I36" s="53"/>
      <c r="K36" s="57"/>
      <c r="L36" s="58"/>
      <c r="M36" s="57"/>
      <c r="N36" s="58"/>
      <c r="O36" s="57"/>
      <c r="P36" s="58"/>
      <c r="Q36" s="57"/>
      <c r="R36" s="58"/>
      <c r="S36" s="57"/>
      <c r="T36" s="58"/>
      <c r="U36" s="57"/>
      <c r="V36" s="58"/>
      <c r="W36" s="57"/>
      <c r="X36" s="58"/>
      <c r="Y36" s="57"/>
      <c r="Z36" s="58"/>
      <c r="AA36" s="57"/>
      <c r="AB36" s="58"/>
      <c r="AC36" s="57"/>
      <c r="AD36" s="58"/>
      <c r="AE36" s="57"/>
      <c r="AF36" s="58"/>
      <c r="AG36" s="57"/>
      <c r="AH36" s="58"/>
      <c r="AI36" s="57"/>
      <c r="AJ36" s="58"/>
      <c r="AK36" s="57"/>
      <c r="AL36" s="58"/>
      <c r="AM36" s="57"/>
      <c r="AN36" s="58"/>
      <c r="AO36" s="57"/>
      <c r="AP36" s="58"/>
      <c r="AQ36" s="57"/>
      <c r="AR36" s="58"/>
      <c r="AS36" s="57"/>
      <c r="AT36" s="58"/>
      <c r="AU36" s="57"/>
      <c r="AV36" s="58"/>
      <c r="AW36" s="57"/>
      <c r="AX36" s="58"/>
      <c r="AY36" s="57"/>
      <c r="AZ36" s="58"/>
      <c r="BA36" s="57"/>
      <c r="BB36" s="58"/>
      <c r="BC36" s="57"/>
      <c r="BD36" s="58"/>
      <c r="BE36" s="57"/>
      <c r="BF36" s="58"/>
    </row>
    <row r="37" spans="2:58" ht="39.950000000000003" customHeight="1" x14ac:dyDescent="0.2">
      <c r="B37" s="56">
        <v>30</v>
      </c>
      <c r="C37" s="56" t="str">
        <f>IF('6. Prioritization'!C36="","",'6. Prioritization'!C36)</f>
        <v/>
      </c>
      <c r="D37" s="56" t="str">
        <f>IF('6. Prioritization'!N36="","",'6. Prioritization'!N36)</f>
        <v/>
      </c>
      <c r="E37" s="352" t="str">
        <f>IF('6. Prioritization'!R36="", "", '6. Prioritization'!R36)</f>
        <v/>
      </c>
      <c r="F37" s="53" t="str">
        <f>IF('6. Prioritization'!$R36="", "", '6. Prioritization'!$R36)</f>
        <v/>
      </c>
      <c r="G37" s="53"/>
      <c r="H37" s="53"/>
      <c r="I37" s="53"/>
      <c r="K37" s="57"/>
      <c r="L37" s="58"/>
      <c r="M37" s="57"/>
      <c r="N37" s="58"/>
      <c r="O37" s="57"/>
      <c r="P37" s="58"/>
      <c r="Q37" s="57"/>
      <c r="R37" s="58"/>
      <c r="S37" s="57"/>
      <c r="T37" s="58"/>
      <c r="U37" s="57"/>
      <c r="V37" s="58"/>
      <c r="W37" s="57"/>
      <c r="X37" s="58"/>
      <c r="Y37" s="57"/>
      <c r="Z37" s="58"/>
      <c r="AA37" s="57"/>
      <c r="AB37" s="58"/>
      <c r="AC37" s="57"/>
      <c r="AD37" s="58"/>
      <c r="AE37" s="57"/>
      <c r="AF37" s="58"/>
      <c r="AG37" s="57"/>
      <c r="AH37" s="58"/>
      <c r="AI37" s="57"/>
      <c r="AJ37" s="58"/>
      <c r="AK37" s="57"/>
      <c r="AL37" s="58"/>
      <c r="AM37" s="57"/>
      <c r="AN37" s="58"/>
      <c r="AO37" s="57"/>
      <c r="AP37" s="58"/>
      <c r="AQ37" s="57"/>
      <c r="AR37" s="58"/>
      <c r="AS37" s="57"/>
      <c r="AT37" s="58"/>
      <c r="AU37" s="57"/>
      <c r="AV37" s="58"/>
      <c r="AW37" s="57"/>
      <c r="AX37" s="58"/>
      <c r="AY37" s="57"/>
      <c r="AZ37" s="58"/>
      <c r="BA37" s="57"/>
      <c r="BB37" s="58"/>
      <c r="BC37" s="57"/>
      <c r="BD37" s="58"/>
      <c r="BE37" s="57"/>
      <c r="BF37" s="58"/>
    </row>
    <row r="38" spans="2:58" ht="39.950000000000003" customHeight="1" x14ac:dyDescent="0.2">
      <c r="B38" s="59">
        <v>31</v>
      </c>
      <c r="C38" s="52" t="str">
        <f>IF('6. Prioritization'!C37="","",'6. Prioritization'!C37)</f>
        <v/>
      </c>
      <c r="D38" s="51" t="str">
        <f>IF('6. Prioritization'!N37="","",'6. Prioritization'!N37)</f>
        <v/>
      </c>
      <c r="E38" s="352" t="str">
        <f>IF('6. Prioritization'!R37="", "", '6. Prioritization'!R37)</f>
        <v/>
      </c>
      <c r="F38" s="53" t="str">
        <f>IF('6. Prioritization'!$R37="", "", '6. Prioritization'!$R37)</f>
        <v/>
      </c>
      <c r="G38" s="53"/>
      <c r="H38" s="53"/>
      <c r="I38" s="53"/>
      <c r="K38" s="57"/>
      <c r="L38" s="58"/>
      <c r="M38" s="57"/>
      <c r="N38" s="58"/>
      <c r="O38" s="57"/>
      <c r="P38" s="58"/>
      <c r="Q38" s="57"/>
      <c r="R38" s="58"/>
      <c r="S38" s="57"/>
      <c r="T38" s="58"/>
      <c r="U38" s="57"/>
      <c r="V38" s="58"/>
      <c r="W38" s="57"/>
      <c r="X38" s="58"/>
      <c r="Y38" s="57"/>
      <c r="Z38" s="58"/>
      <c r="AA38" s="57"/>
      <c r="AB38" s="58"/>
      <c r="AC38" s="57"/>
      <c r="AD38" s="58"/>
      <c r="AE38" s="57"/>
      <c r="AF38" s="58"/>
      <c r="AG38" s="57"/>
      <c r="AH38" s="58"/>
      <c r="AI38" s="57"/>
      <c r="AJ38" s="58"/>
      <c r="AK38" s="57"/>
      <c r="AL38" s="58"/>
      <c r="AM38" s="57"/>
      <c r="AN38" s="58"/>
      <c r="AO38" s="57"/>
      <c r="AP38" s="58"/>
      <c r="AQ38" s="57"/>
      <c r="AR38" s="58"/>
      <c r="AS38" s="57"/>
      <c r="AT38" s="58"/>
      <c r="AU38" s="57"/>
      <c r="AV38" s="58"/>
      <c r="AW38" s="57"/>
      <c r="AX38" s="58"/>
      <c r="AY38" s="57"/>
      <c r="AZ38" s="58"/>
      <c r="BA38" s="57"/>
      <c r="BB38" s="58"/>
      <c r="BC38" s="57"/>
      <c r="BD38" s="58"/>
      <c r="BE38" s="57"/>
      <c r="BF38" s="58"/>
    </row>
    <row r="39" spans="2:58" ht="39.950000000000003" customHeight="1" x14ac:dyDescent="0.2">
      <c r="B39" s="56">
        <v>32</v>
      </c>
      <c r="C39" s="56" t="str">
        <f>IF('6. Prioritization'!C38="","",'6. Prioritization'!C38)</f>
        <v/>
      </c>
      <c r="D39" s="56" t="str">
        <f>IF('6. Prioritization'!N38="","",'6. Prioritization'!N38)</f>
        <v/>
      </c>
      <c r="E39" s="352" t="str">
        <f>IF('6. Prioritization'!R38="", "", '6. Prioritization'!R38)</f>
        <v/>
      </c>
      <c r="F39" s="53" t="str">
        <f>IF('6. Prioritization'!$R38="", "", '6. Prioritization'!$R38)</f>
        <v/>
      </c>
      <c r="G39" s="53"/>
      <c r="H39" s="53"/>
      <c r="I39" s="53"/>
      <c r="K39" s="57"/>
      <c r="L39" s="58"/>
      <c r="M39" s="57"/>
      <c r="N39" s="58"/>
      <c r="O39" s="57"/>
      <c r="P39" s="58"/>
      <c r="Q39" s="57"/>
      <c r="R39" s="58"/>
      <c r="S39" s="57"/>
      <c r="T39" s="58"/>
      <c r="U39" s="57"/>
      <c r="V39" s="58"/>
      <c r="W39" s="57"/>
      <c r="X39" s="58"/>
      <c r="Y39" s="57"/>
      <c r="Z39" s="58"/>
      <c r="AA39" s="57"/>
      <c r="AB39" s="58"/>
      <c r="AC39" s="57"/>
      <c r="AD39" s="58"/>
      <c r="AE39" s="57"/>
      <c r="AF39" s="58"/>
      <c r="AG39" s="57"/>
      <c r="AH39" s="58"/>
      <c r="AI39" s="57"/>
      <c r="AJ39" s="58"/>
      <c r="AK39" s="57"/>
      <c r="AL39" s="58"/>
      <c r="AM39" s="57"/>
      <c r="AN39" s="58"/>
      <c r="AO39" s="57"/>
      <c r="AP39" s="58"/>
      <c r="AQ39" s="57"/>
      <c r="AR39" s="58"/>
      <c r="AS39" s="57"/>
      <c r="AT39" s="58"/>
      <c r="AU39" s="57"/>
      <c r="AV39" s="58"/>
      <c r="AW39" s="57"/>
      <c r="AX39" s="58"/>
      <c r="AY39" s="57"/>
      <c r="AZ39" s="58"/>
      <c r="BA39" s="57"/>
      <c r="BB39" s="58"/>
      <c r="BC39" s="57"/>
      <c r="BD39" s="58"/>
      <c r="BE39" s="57"/>
      <c r="BF39" s="58"/>
    </row>
    <row r="40" spans="2:58" ht="39.950000000000003" customHeight="1" x14ac:dyDescent="0.2">
      <c r="B40" s="59">
        <v>33</v>
      </c>
      <c r="C40" s="52" t="str">
        <f>IF('6. Prioritization'!C39="","",'6. Prioritization'!C39)</f>
        <v/>
      </c>
      <c r="D40" s="51" t="str">
        <f>IF('6. Prioritization'!N39="","",'6. Prioritization'!N39)</f>
        <v/>
      </c>
      <c r="E40" s="352" t="str">
        <f>IF('6. Prioritization'!R39="", "", '6. Prioritization'!R39)</f>
        <v/>
      </c>
      <c r="F40" s="53" t="str">
        <f>IF('6. Prioritization'!$R39="", "", '6. Prioritization'!$R39)</f>
        <v/>
      </c>
      <c r="G40" s="53"/>
      <c r="H40" s="53"/>
      <c r="I40" s="53"/>
      <c r="K40" s="57"/>
      <c r="L40" s="58"/>
      <c r="M40" s="57"/>
      <c r="N40" s="58"/>
      <c r="O40" s="57"/>
      <c r="P40" s="58"/>
      <c r="Q40" s="57"/>
      <c r="R40" s="58"/>
      <c r="S40" s="57"/>
      <c r="T40" s="58"/>
      <c r="U40" s="57"/>
      <c r="V40" s="58"/>
      <c r="W40" s="57"/>
      <c r="X40" s="58"/>
      <c r="Y40" s="57"/>
      <c r="Z40" s="58"/>
      <c r="AA40" s="57"/>
      <c r="AB40" s="58"/>
      <c r="AC40" s="57"/>
      <c r="AD40" s="58"/>
      <c r="AE40" s="57"/>
      <c r="AF40" s="58"/>
      <c r="AG40" s="57"/>
      <c r="AH40" s="58"/>
      <c r="AI40" s="57"/>
      <c r="AJ40" s="58"/>
      <c r="AK40" s="57"/>
      <c r="AL40" s="58"/>
      <c r="AM40" s="57"/>
      <c r="AN40" s="58"/>
      <c r="AO40" s="57"/>
      <c r="AP40" s="58"/>
      <c r="AQ40" s="57"/>
      <c r="AR40" s="58"/>
      <c r="AS40" s="57"/>
      <c r="AT40" s="58"/>
      <c r="AU40" s="57"/>
      <c r="AV40" s="58"/>
      <c r="AW40" s="57"/>
      <c r="AX40" s="58"/>
      <c r="AY40" s="57"/>
      <c r="AZ40" s="58"/>
      <c r="BA40" s="57"/>
      <c r="BB40" s="58"/>
      <c r="BC40" s="57"/>
      <c r="BD40" s="58"/>
      <c r="BE40" s="57"/>
      <c r="BF40" s="58"/>
    </row>
    <row r="41" spans="2:58" ht="39.950000000000003" customHeight="1" x14ac:dyDescent="0.2">
      <c r="B41" s="56">
        <v>34</v>
      </c>
      <c r="C41" s="56" t="str">
        <f>IF('6. Prioritization'!C40="","",'6. Prioritization'!C40)</f>
        <v/>
      </c>
      <c r="D41" s="56" t="str">
        <f>IF('6. Prioritization'!N40="","",'6. Prioritization'!N40)</f>
        <v/>
      </c>
      <c r="E41" s="352" t="str">
        <f>IF('6. Prioritization'!R40="", "", '6. Prioritization'!R40)</f>
        <v/>
      </c>
      <c r="F41" s="53" t="str">
        <f>IF('6. Prioritization'!$R40="", "", '6. Prioritization'!$R40)</f>
        <v/>
      </c>
      <c r="G41" s="53"/>
      <c r="H41" s="53"/>
      <c r="I41" s="53"/>
      <c r="K41" s="57"/>
      <c r="L41" s="58"/>
      <c r="M41" s="57"/>
      <c r="N41" s="58"/>
      <c r="O41" s="57"/>
      <c r="P41" s="58"/>
      <c r="Q41" s="57"/>
      <c r="R41" s="58"/>
      <c r="S41" s="57"/>
      <c r="T41" s="58"/>
      <c r="U41" s="57"/>
      <c r="V41" s="58"/>
      <c r="W41" s="57"/>
      <c r="X41" s="58"/>
      <c r="Y41" s="57"/>
      <c r="Z41" s="58"/>
      <c r="AA41" s="57"/>
      <c r="AB41" s="58"/>
      <c r="AC41" s="57"/>
      <c r="AD41" s="58"/>
      <c r="AE41" s="57"/>
      <c r="AF41" s="58"/>
      <c r="AG41" s="57"/>
      <c r="AH41" s="58"/>
      <c r="AI41" s="57"/>
      <c r="AJ41" s="58"/>
      <c r="AK41" s="57"/>
      <c r="AL41" s="58"/>
      <c r="AM41" s="57"/>
      <c r="AN41" s="58"/>
      <c r="AO41" s="57"/>
      <c r="AP41" s="58"/>
      <c r="AQ41" s="57"/>
      <c r="AR41" s="58"/>
      <c r="AS41" s="57"/>
      <c r="AT41" s="58"/>
      <c r="AU41" s="57"/>
      <c r="AV41" s="58"/>
      <c r="AW41" s="57"/>
      <c r="AX41" s="58"/>
      <c r="AY41" s="57"/>
      <c r="AZ41" s="58"/>
      <c r="BA41" s="57"/>
      <c r="BB41" s="58"/>
      <c r="BC41" s="57"/>
      <c r="BD41" s="58"/>
      <c r="BE41" s="57"/>
      <c r="BF41" s="58"/>
    </row>
    <row r="42" spans="2:58" ht="39.950000000000003" customHeight="1" x14ac:dyDescent="0.2">
      <c r="B42" s="59">
        <v>35</v>
      </c>
      <c r="C42" s="52" t="str">
        <f>IF('6. Prioritization'!C41="","",'6. Prioritization'!C41)</f>
        <v/>
      </c>
      <c r="D42" s="51" t="str">
        <f>IF('6. Prioritization'!N41="","",'6. Prioritization'!N41)</f>
        <v/>
      </c>
      <c r="E42" s="352" t="str">
        <f>IF('6. Prioritization'!R41="", "", '6. Prioritization'!R41)</f>
        <v/>
      </c>
      <c r="F42" s="53" t="str">
        <f>IF('6. Prioritization'!$R41="", "", '6. Prioritization'!$R41)</f>
        <v/>
      </c>
      <c r="G42" s="53"/>
      <c r="H42" s="53"/>
      <c r="I42" s="53"/>
      <c r="K42" s="57"/>
      <c r="L42" s="58"/>
      <c r="M42" s="57"/>
      <c r="N42" s="58"/>
      <c r="O42" s="57"/>
      <c r="P42" s="58"/>
      <c r="Q42" s="57"/>
      <c r="R42" s="58"/>
      <c r="S42" s="57"/>
      <c r="T42" s="58"/>
      <c r="U42" s="57"/>
      <c r="V42" s="58"/>
      <c r="W42" s="57"/>
      <c r="X42" s="58"/>
      <c r="Y42" s="57"/>
      <c r="Z42" s="58"/>
      <c r="AA42" s="57"/>
      <c r="AB42" s="58"/>
      <c r="AC42" s="57"/>
      <c r="AD42" s="58"/>
      <c r="AE42" s="57"/>
      <c r="AF42" s="58"/>
      <c r="AG42" s="57"/>
      <c r="AH42" s="58"/>
      <c r="AI42" s="57"/>
      <c r="AJ42" s="58"/>
      <c r="AK42" s="57"/>
      <c r="AL42" s="58"/>
      <c r="AM42" s="57"/>
      <c r="AN42" s="58"/>
      <c r="AO42" s="57"/>
      <c r="AP42" s="58"/>
      <c r="AQ42" s="57"/>
      <c r="AR42" s="58"/>
      <c r="AS42" s="57"/>
      <c r="AT42" s="58"/>
      <c r="AU42" s="57"/>
      <c r="AV42" s="58"/>
      <c r="AW42" s="57"/>
      <c r="AX42" s="58"/>
      <c r="AY42" s="57"/>
      <c r="AZ42" s="58"/>
      <c r="BA42" s="57"/>
      <c r="BB42" s="58"/>
      <c r="BC42" s="57"/>
      <c r="BD42" s="58"/>
      <c r="BE42" s="57"/>
      <c r="BF42" s="58"/>
    </row>
    <row r="43" spans="2:58" ht="39.950000000000003" customHeight="1" x14ac:dyDescent="0.2">
      <c r="B43" s="56">
        <v>36</v>
      </c>
      <c r="C43" s="56" t="str">
        <f>IF('6. Prioritization'!C42="","",'6. Prioritization'!C42)</f>
        <v/>
      </c>
      <c r="D43" s="56" t="str">
        <f>IF('6. Prioritization'!N42="","",'6. Prioritization'!N42)</f>
        <v/>
      </c>
      <c r="E43" s="352" t="str">
        <f>IF('6. Prioritization'!R42="", "", '6. Prioritization'!R42)</f>
        <v/>
      </c>
      <c r="F43" s="53" t="str">
        <f>IF('6. Prioritization'!$R42="", "", '6. Prioritization'!$R42)</f>
        <v/>
      </c>
      <c r="G43" s="53"/>
      <c r="H43" s="53"/>
      <c r="I43" s="53"/>
      <c r="K43" s="57"/>
      <c r="L43" s="58"/>
      <c r="M43" s="57"/>
      <c r="N43" s="58"/>
      <c r="O43" s="57"/>
      <c r="P43" s="58"/>
      <c r="Q43" s="57"/>
      <c r="R43" s="58"/>
      <c r="S43" s="57"/>
      <c r="T43" s="58"/>
      <c r="U43" s="57"/>
      <c r="V43" s="58"/>
      <c r="W43" s="57"/>
      <c r="X43" s="58"/>
      <c r="Y43" s="57"/>
      <c r="Z43" s="58"/>
      <c r="AA43" s="57"/>
      <c r="AB43" s="58"/>
      <c r="AC43" s="57"/>
      <c r="AD43" s="58"/>
      <c r="AE43" s="57"/>
      <c r="AF43" s="58"/>
      <c r="AG43" s="57"/>
      <c r="AH43" s="58"/>
      <c r="AI43" s="57"/>
      <c r="AJ43" s="58"/>
      <c r="AK43" s="57"/>
      <c r="AL43" s="58"/>
      <c r="AM43" s="57"/>
      <c r="AN43" s="58"/>
      <c r="AO43" s="57"/>
      <c r="AP43" s="58"/>
      <c r="AQ43" s="57"/>
      <c r="AR43" s="58"/>
      <c r="AS43" s="57"/>
      <c r="AT43" s="58"/>
      <c r="AU43" s="57"/>
      <c r="AV43" s="58"/>
      <c r="AW43" s="57"/>
      <c r="AX43" s="58"/>
      <c r="AY43" s="57"/>
      <c r="AZ43" s="58"/>
      <c r="BA43" s="57"/>
      <c r="BB43" s="58"/>
      <c r="BC43" s="57"/>
      <c r="BD43" s="58"/>
      <c r="BE43" s="57"/>
      <c r="BF43" s="58"/>
    </row>
    <row r="44" spans="2:58" ht="39.950000000000003" customHeight="1" x14ac:dyDescent="0.2">
      <c r="B44" s="59">
        <v>37</v>
      </c>
      <c r="C44" s="52" t="str">
        <f>IF('6. Prioritization'!C43="","",'6. Prioritization'!C43)</f>
        <v/>
      </c>
      <c r="D44" s="51" t="str">
        <f>IF('6. Prioritization'!N43="","",'6. Prioritization'!N43)</f>
        <v/>
      </c>
      <c r="E44" s="352" t="str">
        <f>IF('6. Prioritization'!R43="", "", '6. Prioritization'!R43)</f>
        <v/>
      </c>
      <c r="F44" s="53" t="str">
        <f>IF('6. Prioritization'!$R43="", "", '6. Prioritization'!$R43)</f>
        <v/>
      </c>
      <c r="G44" s="53"/>
      <c r="H44" s="53"/>
      <c r="I44" s="53"/>
      <c r="K44" s="57"/>
      <c r="L44" s="58"/>
      <c r="M44" s="57"/>
      <c r="N44" s="58"/>
      <c r="O44" s="57"/>
      <c r="P44" s="58"/>
      <c r="Q44" s="57"/>
      <c r="R44" s="58"/>
      <c r="S44" s="57"/>
      <c r="T44" s="58"/>
      <c r="U44" s="57"/>
      <c r="V44" s="58"/>
      <c r="W44" s="57"/>
      <c r="X44" s="58"/>
      <c r="Y44" s="57"/>
      <c r="Z44" s="58"/>
      <c r="AA44" s="57"/>
      <c r="AB44" s="58"/>
      <c r="AC44" s="57"/>
      <c r="AD44" s="58"/>
      <c r="AE44" s="57"/>
      <c r="AF44" s="58"/>
      <c r="AG44" s="57"/>
      <c r="AH44" s="58"/>
      <c r="AI44" s="57"/>
      <c r="AJ44" s="58"/>
      <c r="AK44" s="57"/>
      <c r="AL44" s="58"/>
      <c r="AM44" s="57"/>
      <c r="AN44" s="58"/>
      <c r="AO44" s="57"/>
      <c r="AP44" s="58"/>
      <c r="AQ44" s="57"/>
      <c r="AR44" s="58"/>
      <c r="AS44" s="57"/>
      <c r="AT44" s="58"/>
      <c r="AU44" s="57"/>
      <c r="AV44" s="58"/>
      <c r="AW44" s="57"/>
      <c r="AX44" s="58"/>
      <c r="AY44" s="57"/>
      <c r="AZ44" s="58"/>
      <c r="BA44" s="57"/>
      <c r="BB44" s="58"/>
      <c r="BC44" s="57"/>
      <c r="BD44" s="58"/>
      <c r="BE44" s="57"/>
      <c r="BF44" s="58"/>
    </row>
    <row r="45" spans="2:58" ht="39.950000000000003" customHeight="1" x14ac:dyDescent="0.2">
      <c r="B45" s="56">
        <v>38</v>
      </c>
      <c r="C45" s="56" t="str">
        <f>IF('6. Prioritization'!C44="","",'6. Prioritization'!C44)</f>
        <v/>
      </c>
      <c r="D45" s="56" t="str">
        <f>IF('6. Prioritization'!N44="","",'6. Prioritization'!N44)</f>
        <v/>
      </c>
      <c r="E45" s="352" t="str">
        <f>IF('6. Prioritization'!R44="", "", '6. Prioritization'!R44)</f>
        <v/>
      </c>
      <c r="F45" s="53" t="str">
        <f>IF('6. Prioritization'!$R44="", "", '6. Prioritization'!$R44)</f>
        <v/>
      </c>
      <c r="G45" s="53"/>
      <c r="H45" s="53"/>
      <c r="I45" s="53"/>
      <c r="K45" s="57"/>
      <c r="L45" s="58"/>
      <c r="M45" s="57"/>
      <c r="N45" s="58"/>
      <c r="O45" s="57"/>
      <c r="P45" s="58"/>
      <c r="Q45" s="57"/>
      <c r="R45" s="58"/>
      <c r="S45" s="57"/>
      <c r="T45" s="58"/>
      <c r="U45" s="57"/>
      <c r="V45" s="58"/>
      <c r="W45" s="57"/>
      <c r="X45" s="58"/>
      <c r="Y45" s="57"/>
      <c r="Z45" s="58"/>
      <c r="AA45" s="57"/>
      <c r="AB45" s="58"/>
      <c r="AC45" s="57"/>
      <c r="AD45" s="58"/>
      <c r="AE45" s="57"/>
      <c r="AF45" s="58"/>
      <c r="AG45" s="57"/>
      <c r="AH45" s="58"/>
      <c r="AI45" s="57"/>
      <c r="AJ45" s="58"/>
      <c r="AK45" s="57"/>
      <c r="AL45" s="58"/>
      <c r="AM45" s="57"/>
      <c r="AN45" s="58"/>
      <c r="AO45" s="57"/>
      <c r="AP45" s="58"/>
      <c r="AQ45" s="57"/>
      <c r="AR45" s="58"/>
      <c r="AS45" s="57"/>
      <c r="AT45" s="58"/>
      <c r="AU45" s="57"/>
      <c r="AV45" s="58"/>
      <c r="AW45" s="57"/>
      <c r="AX45" s="58"/>
      <c r="AY45" s="57"/>
      <c r="AZ45" s="58"/>
      <c r="BA45" s="57"/>
      <c r="BB45" s="58"/>
      <c r="BC45" s="57"/>
      <c r="BD45" s="58"/>
      <c r="BE45" s="57"/>
      <c r="BF45" s="58"/>
    </row>
    <row r="46" spans="2:58" ht="39.950000000000003" customHeight="1" x14ac:dyDescent="0.2">
      <c r="B46" s="59">
        <v>39</v>
      </c>
      <c r="C46" s="52" t="str">
        <f>IF('6. Prioritization'!C45="","",'6. Prioritization'!C45)</f>
        <v/>
      </c>
      <c r="D46" s="51" t="str">
        <f>IF('6. Prioritization'!N45="","",'6. Prioritization'!N45)</f>
        <v/>
      </c>
      <c r="E46" s="352" t="str">
        <f>IF('6. Prioritization'!R45="", "", '6. Prioritization'!R45)</f>
        <v/>
      </c>
      <c r="F46" s="53" t="str">
        <f>IF('6. Prioritization'!$R45="", "", '6. Prioritization'!$R45)</f>
        <v/>
      </c>
      <c r="G46" s="53"/>
      <c r="H46" s="53"/>
      <c r="I46" s="53"/>
      <c r="K46" s="57"/>
      <c r="L46" s="58"/>
      <c r="M46" s="57"/>
      <c r="N46" s="58"/>
      <c r="O46" s="57"/>
      <c r="P46" s="58"/>
      <c r="Q46" s="57"/>
      <c r="R46" s="58"/>
      <c r="S46" s="57"/>
      <c r="T46" s="58"/>
      <c r="U46" s="57"/>
      <c r="V46" s="58"/>
      <c r="W46" s="57"/>
      <c r="X46" s="58"/>
      <c r="Y46" s="57"/>
      <c r="Z46" s="58"/>
      <c r="AA46" s="57"/>
      <c r="AB46" s="58"/>
      <c r="AC46" s="57"/>
      <c r="AD46" s="58"/>
      <c r="AE46" s="57"/>
      <c r="AF46" s="58"/>
      <c r="AG46" s="57"/>
      <c r="AH46" s="58"/>
      <c r="AI46" s="57"/>
      <c r="AJ46" s="58"/>
      <c r="AK46" s="57"/>
      <c r="AL46" s="58"/>
      <c r="AM46" s="57"/>
      <c r="AN46" s="58"/>
      <c r="AO46" s="57"/>
      <c r="AP46" s="58"/>
      <c r="AQ46" s="57"/>
      <c r="AR46" s="58"/>
      <c r="AS46" s="57"/>
      <c r="AT46" s="58"/>
      <c r="AU46" s="57"/>
      <c r="AV46" s="58"/>
      <c r="AW46" s="57"/>
      <c r="AX46" s="58"/>
      <c r="AY46" s="57"/>
      <c r="AZ46" s="58"/>
      <c r="BA46" s="57"/>
      <c r="BB46" s="58"/>
      <c r="BC46" s="57"/>
      <c r="BD46" s="58"/>
      <c r="BE46" s="57"/>
      <c r="BF46" s="58"/>
    </row>
    <row r="47" spans="2:58" ht="39.950000000000003" customHeight="1" x14ac:dyDescent="0.2">
      <c r="B47" s="56">
        <v>40</v>
      </c>
      <c r="C47" s="56" t="str">
        <f>IF('6. Prioritization'!C46="","",'6. Prioritization'!C46)</f>
        <v/>
      </c>
      <c r="D47" s="56" t="str">
        <f>IF('6. Prioritization'!N46="","",'6. Prioritization'!N46)</f>
        <v/>
      </c>
      <c r="E47" s="352" t="str">
        <f>IF('6. Prioritization'!R46="", "", '6. Prioritization'!R46)</f>
        <v/>
      </c>
      <c r="F47" s="53" t="str">
        <f>IF('6. Prioritization'!$R46="", "", '6. Prioritization'!$R46)</f>
        <v/>
      </c>
      <c r="G47" s="53"/>
      <c r="H47" s="53"/>
      <c r="I47" s="53"/>
      <c r="K47" s="57"/>
      <c r="L47" s="58"/>
      <c r="M47" s="57"/>
      <c r="N47" s="58"/>
      <c r="O47" s="57"/>
      <c r="P47" s="58"/>
      <c r="Q47" s="57"/>
      <c r="R47" s="58"/>
      <c r="S47" s="57"/>
      <c r="T47" s="58"/>
      <c r="U47" s="57"/>
      <c r="V47" s="58"/>
      <c r="W47" s="57"/>
      <c r="X47" s="58"/>
      <c r="Y47" s="57"/>
      <c r="Z47" s="58"/>
      <c r="AA47" s="57"/>
      <c r="AB47" s="58"/>
      <c r="AC47" s="57"/>
      <c r="AD47" s="58"/>
      <c r="AE47" s="57"/>
      <c r="AF47" s="58"/>
      <c r="AG47" s="57"/>
      <c r="AH47" s="58"/>
      <c r="AI47" s="57"/>
      <c r="AJ47" s="58"/>
      <c r="AK47" s="57"/>
      <c r="AL47" s="58"/>
      <c r="AM47" s="57"/>
      <c r="AN47" s="58"/>
      <c r="AO47" s="57"/>
      <c r="AP47" s="58"/>
      <c r="AQ47" s="57"/>
      <c r="AR47" s="58"/>
      <c r="AS47" s="57"/>
      <c r="AT47" s="58"/>
      <c r="AU47" s="57"/>
      <c r="AV47" s="58"/>
      <c r="AW47" s="57"/>
      <c r="AX47" s="58"/>
      <c r="AY47" s="57"/>
      <c r="AZ47" s="58"/>
      <c r="BA47" s="57"/>
      <c r="BB47" s="58"/>
      <c r="BC47" s="57"/>
      <c r="BD47" s="58"/>
      <c r="BE47" s="57"/>
      <c r="BF47" s="58"/>
    </row>
  </sheetData>
  <autoFilter ref="D7:E7" xr:uid="{6B3EB16D-472B-49D3-ACA5-CBCCD23D1638}"/>
  <mergeCells count="7">
    <mergeCell ref="AU6:BF6"/>
    <mergeCell ref="B2:V2"/>
    <mergeCell ref="B3:I3"/>
    <mergeCell ref="G6:H6"/>
    <mergeCell ref="K6:V6"/>
    <mergeCell ref="W6:AH6"/>
    <mergeCell ref="AI6:AT6"/>
  </mergeCell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2" id="{AEE085FD-A819-47DB-8AFD-B8D2485A5C5C}">
            <xm:f>IF(              AND(                       K$5 &gt;= ($H8-'2. Setup'!$D$42)*12+VLOOKUP($G8, '9. List &amp; Calc'!$B$140:$C$151, 2, FALSE),            K$5 &lt;= ($H8-'2. Setup'!$D$42)*12+VLOOKUP($G8, '9. List &amp; Calc'!$B$140:$C$151, 2, FALSE)+($I8-1)      ),       TRUE, FALSE )</xm:f>
            <x14:dxf>
              <fill>
                <patternFill patternType="gray0625">
                  <bgColor rgb="FFCED990"/>
                </patternFill>
              </fill>
            </x14:dxf>
          </x14:cfRule>
          <xm:sqref>K8:BF47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B6E0F230-12BB-45CB-9578-D6D6FBC10A1C}">
          <x14:formula1>
            <xm:f>'9. List &amp; Calc'!$E$140:$E$143</xm:f>
          </x14:formula1>
          <xm:sqref>H8:H47</xm:sqref>
        </x14:dataValidation>
        <x14:dataValidation type="list" allowBlank="1" showInputMessage="1" showErrorMessage="1" xr:uid="{E3BE48EF-0FC7-454F-9626-1930E01B809D}">
          <x14:formula1>
            <xm:f>'9. List &amp; Calc'!$B$140:$B$151</xm:f>
          </x14:formula1>
          <xm:sqref>G8:G47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5886B-BB3A-4D6D-947E-45E31EEAE65D}">
  <dimension ref="B2:AU241"/>
  <sheetViews>
    <sheetView showGridLines="0" zoomScale="90" zoomScaleNormal="90" workbookViewId="0"/>
  </sheetViews>
  <sheetFormatPr defaultRowHeight="14.25" x14ac:dyDescent="0.2"/>
  <cols>
    <col min="1" max="1" width="2.625" customWidth="1"/>
    <col min="2" max="39" width="5.625" customWidth="1"/>
  </cols>
  <sheetData>
    <row r="2" spans="2:45" ht="38.450000000000003" customHeight="1" x14ac:dyDescent="0.2">
      <c r="B2" s="437" t="s">
        <v>475</v>
      </c>
      <c r="C2" s="438"/>
      <c r="D2" s="438"/>
      <c r="E2" s="438"/>
      <c r="F2" s="438"/>
      <c r="G2" s="438"/>
      <c r="H2" s="438"/>
      <c r="I2" s="438"/>
      <c r="J2" s="438"/>
      <c r="K2" s="438"/>
      <c r="L2" s="438"/>
      <c r="M2" s="438"/>
      <c r="N2" s="438"/>
      <c r="O2" s="438"/>
      <c r="P2" s="438"/>
      <c r="Q2" s="438"/>
      <c r="R2" s="438"/>
      <c r="S2" s="438"/>
      <c r="T2" s="438"/>
      <c r="U2" s="438"/>
      <c r="V2" s="438"/>
      <c r="W2" s="438"/>
      <c r="X2" s="438"/>
      <c r="Y2" s="438"/>
      <c r="Z2" s="438"/>
      <c r="AA2" s="438"/>
      <c r="AB2" s="438"/>
      <c r="AC2" s="438"/>
      <c r="AD2" s="438"/>
      <c r="AE2" s="438"/>
      <c r="AF2" s="438"/>
      <c r="AG2" s="438"/>
      <c r="AH2" s="438"/>
      <c r="AI2" s="438"/>
      <c r="AJ2" s="438"/>
      <c r="AK2" s="438"/>
      <c r="AL2" s="438"/>
      <c r="AM2" s="438"/>
    </row>
    <row r="3" spans="2:45" ht="38.450000000000003" customHeight="1" x14ac:dyDescent="0.2">
      <c r="B3" s="369" t="s">
        <v>476</v>
      </c>
      <c r="C3" s="369"/>
      <c r="D3" s="369"/>
      <c r="E3" s="369"/>
      <c r="F3" s="369"/>
      <c r="G3" s="369"/>
      <c r="H3" s="369"/>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1"/>
      <c r="AI3" s="1"/>
      <c r="AJ3" s="1"/>
      <c r="AK3" s="1"/>
      <c r="AL3" s="1"/>
      <c r="AM3" s="1"/>
    </row>
    <row r="4" spans="2:45" s="1" customFormat="1" ht="9.9499999999999993" customHeight="1" x14ac:dyDescent="0.2"/>
    <row r="5" spans="2:45" s="1" customFormat="1" ht="12.6" customHeight="1" x14ac:dyDescent="0.25">
      <c r="B5" s="456" t="s">
        <v>477</v>
      </c>
      <c r="C5" s="456"/>
      <c r="D5" s="456"/>
      <c r="E5" s="456"/>
      <c r="F5" s="456"/>
      <c r="G5" s="456"/>
      <c r="H5" s="456"/>
      <c r="I5" s="456"/>
      <c r="J5" s="456"/>
      <c r="K5" s="456"/>
      <c r="L5" s="456"/>
      <c r="M5" s="456"/>
      <c r="N5" s="456"/>
      <c r="O5" s="456"/>
      <c r="P5" s="456"/>
      <c r="Q5" s="456"/>
      <c r="R5" s="456"/>
      <c r="S5" s="456"/>
      <c r="T5" s="456"/>
      <c r="U5" s="456"/>
      <c r="V5" s="456"/>
      <c r="W5" s="456"/>
      <c r="X5" s="456"/>
      <c r="Y5" s="456"/>
      <c r="Z5" s="456"/>
      <c r="AA5" s="456"/>
      <c r="AB5" s="456"/>
      <c r="AC5" s="456"/>
      <c r="AD5" s="456"/>
      <c r="AE5" s="456"/>
      <c r="AF5" s="456"/>
      <c r="AG5" s="456"/>
      <c r="AH5" s="456"/>
      <c r="AI5" s="456"/>
      <c r="AJ5" s="456"/>
      <c r="AK5" s="456"/>
      <c r="AL5" s="456"/>
      <c r="AM5" s="456"/>
      <c r="AN5" s="232"/>
      <c r="AO5" s="232"/>
      <c r="AP5" s="232"/>
      <c r="AQ5" s="232"/>
      <c r="AR5" s="232"/>
      <c r="AS5" s="232"/>
    </row>
    <row r="6" spans="2:45" s="1" customFormat="1" ht="12.6" customHeight="1" x14ac:dyDescent="0.25">
      <c r="B6" s="456"/>
      <c r="C6" s="456"/>
      <c r="D6" s="456"/>
      <c r="E6" s="456"/>
      <c r="F6" s="456"/>
      <c r="G6" s="456"/>
      <c r="H6" s="456"/>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232"/>
      <c r="AO6" s="232"/>
      <c r="AP6" s="232"/>
      <c r="AQ6" s="232"/>
      <c r="AR6" s="232"/>
      <c r="AS6" s="232"/>
    </row>
    <row r="7" spans="2:45" s="1" customFormat="1" ht="12.6" customHeight="1" x14ac:dyDescent="0.25">
      <c r="B7" s="456"/>
      <c r="C7" s="456"/>
      <c r="D7" s="456"/>
      <c r="E7" s="456"/>
      <c r="F7" s="456"/>
      <c r="G7" s="456"/>
      <c r="H7" s="456"/>
      <c r="I7" s="456"/>
      <c r="J7" s="456"/>
      <c r="K7" s="456"/>
      <c r="L7" s="456"/>
      <c r="M7" s="456"/>
      <c r="N7" s="456"/>
      <c r="O7" s="456"/>
      <c r="P7" s="456"/>
      <c r="Q7" s="456"/>
      <c r="R7" s="456"/>
      <c r="S7" s="456"/>
      <c r="T7" s="456"/>
      <c r="U7" s="456"/>
      <c r="V7" s="456"/>
      <c r="W7" s="456"/>
      <c r="X7" s="456"/>
      <c r="Y7" s="456"/>
      <c r="Z7" s="456"/>
      <c r="AA7" s="456"/>
      <c r="AB7" s="456"/>
      <c r="AC7" s="456"/>
      <c r="AD7" s="456"/>
      <c r="AE7" s="456"/>
      <c r="AF7" s="456"/>
      <c r="AG7" s="456"/>
      <c r="AH7" s="456"/>
      <c r="AI7" s="456"/>
      <c r="AJ7" s="456"/>
      <c r="AK7" s="456"/>
      <c r="AL7" s="456"/>
      <c r="AM7" s="456"/>
      <c r="AN7" s="232"/>
      <c r="AO7" s="232"/>
      <c r="AP7" s="232"/>
      <c r="AQ7" s="232"/>
      <c r="AR7" s="232"/>
      <c r="AS7" s="232"/>
    </row>
    <row r="8" spans="2:45" s="1" customFormat="1" ht="13.5" thickBot="1" x14ac:dyDescent="0.25">
      <c r="B8" s="40"/>
      <c r="C8" s="40"/>
      <c r="D8" s="38"/>
    </row>
    <row r="9" spans="2:45" s="1" customFormat="1" ht="15" customHeight="1" x14ac:dyDescent="0.2">
      <c r="B9" s="233"/>
      <c r="C9" s="233"/>
      <c r="D9" s="233"/>
      <c r="E9" s="233"/>
      <c r="F9" s="233"/>
      <c r="G9" s="233"/>
      <c r="H9" s="233"/>
      <c r="I9" s="233"/>
      <c r="J9" s="500" t="s">
        <v>478</v>
      </c>
      <c r="K9" s="501"/>
      <c r="L9" s="502"/>
      <c r="M9" s="502"/>
      <c r="N9" s="502"/>
      <c r="O9" s="502"/>
      <c r="P9" s="502"/>
      <c r="Q9" s="503"/>
      <c r="R9" s="508" t="s">
        <v>479</v>
      </c>
      <c r="S9" s="509"/>
      <c r="T9" s="510"/>
      <c r="U9" s="510"/>
      <c r="V9" s="510"/>
      <c r="W9" s="510"/>
      <c r="X9" s="510"/>
      <c r="Y9" s="511"/>
    </row>
    <row r="10" spans="2:45" s="1" customFormat="1" ht="15" customHeight="1" thickBot="1" x14ac:dyDescent="0.25">
      <c r="J10" s="504"/>
      <c r="K10" s="505"/>
      <c r="L10" s="506"/>
      <c r="M10" s="506"/>
      <c r="N10" s="506"/>
      <c r="O10" s="506"/>
      <c r="P10" s="506"/>
      <c r="Q10" s="507"/>
      <c r="R10" s="512"/>
      <c r="S10" s="505"/>
      <c r="T10" s="506"/>
      <c r="U10" s="506"/>
      <c r="V10" s="506"/>
      <c r="W10" s="506"/>
      <c r="X10" s="506"/>
      <c r="Y10" s="513"/>
    </row>
    <row r="11" spans="2:45" s="1" customFormat="1" ht="15" customHeight="1" x14ac:dyDescent="0.2">
      <c r="B11" s="514" t="s">
        <v>451</v>
      </c>
      <c r="C11" s="515"/>
      <c r="D11" s="515"/>
      <c r="E11" s="518" t="s">
        <v>480</v>
      </c>
      <c r="F11" s="518"/>
      <c r="G11" s="518"/>
      <c r="H11" s="518"/>
      <c r="I11" s="519"/>
      <c r="J11" s="504" t="s">
        <v>481</v>
      </c>
      <c r="K11" s="505"/>
      <c r="L11" s="506"/>
      <c r="M11" s="506"/>
      <c r="N11" s="506" t="s">
        <v>482</v>
      </c>
      <c r="O11" s="506"/>
      <c r="P11" s="506"/>
      <c r="Q11" s="507"/>
      <c r="R11" s="512" t="s">
        <v>481</v>
      </c>
      <c r="S11" s="505"/>
      <c r="T11" s="506"/>
      <c r="U11" s="506"/>
      <c r="V11" s="506" t="s">
        <v>482</v>
      </c>
      <c r="W11" s="506"/>
      <c r="X11" s="506"/>
      <c r="Y11" s="513"/>
      <c r="AA11" s="528" t="s">
        <v>483</v>
      </c>
      <c r="AB11" s="529"/>
      <c r="AC11" s="529"/>
      <c r="AD11" s="529"/>
      <c r="AE11" s="529"/>
      <c r="AF11" s="529"/>
      <c r="AG11" s="529"/>
      <c r="AH11" s="529"/>
      <c r="AI11" s="529"/>
      <c r="AJ11" s="529"/>
      <c r="AK11" s="529"/>
      <c r="AL11" s="529"/>
      <c r="AM11" s="530"/>
    </row>
    <row r="12" spans="2:45" s="1" customFormat="1" ht="15" customHeight="1" x14ac:dyDescent="0.2">
      <c r="B12" s="516"/>
      <c r="C12" s="517"/>
      <c r="D12" s="517"/>
      <c r="E12" s="520"/>
      <c r="F12" s="520"/>
      <c r="G12" s="520"/>
      <c r="H12" s="520"/>
      <c r="I12" s="521"/>
      <c r="J12" s="522"/>
      <c r="K12" s="523"/>
      <c r="L12" s="524"/>
      <c r="M12" s="524"/>
      <c r="N12" s="524"/>
      <c r="O12" s="524"/>
      <c r="P12" s="524"/>
      <c r="Q12" s="525"/>
      <c r="R12" s="526"/>
      <c r="S12" s="523"/>
      <c r="T12" s="524"/>
      <c r="U12" s="524"/>
      <c r="V12" s="524"/>
      <c r="W12" s="524"/>
      <c r="X12" s="524"/>
      <c r="Y12" s="527"/>
      <c r="AA12" s="531"/>
      <c r="AB12" s="532"/>
      <c r="AC12" s="532"/>
      <c r="AD12" s="532"/>
      <c r="AE12" s="532"/>
      <c r="AF12" s="532"/>
      <c r="AG12" s="532"/>
      <c r="AH12" s="532"/>
      <c r="AI12" s="532"/>
      <c r="AJ12" s="532"/>
      <c r="AK12" s="532"/>
      <c r="AL12" s="532"/>
      <c r="AM12" s="533"/>
    </row>
    <row r="13" spans="2:45" s="1" customFormat="1" ht="15" customHeight="1" x14ac:dyDescent="0.2">
      <c r="B13" s="461">
        <v>0</v>
      </c>
      <c r="C13" s="462"/>
      <c r="D13" s="462"/>
      <c r="E13" s="534">
        <f>COUNTIF('6. Prioritization'!$N$7:$N$46, 0)</f>
        <v>0</v>
      </c>
      <c r="F13" s="534"/>
      <c r="G13" s="534"/>
      <c r="H13" s="534"/>
      <c r="I13" s="535"/>
      <c r="J13" s="536">
        <f>SUMIF('6. Prioritization'!$N$7:$N$106, B13, '6. Prioritization'!P$7:P$106)</f>
        <v>0</v>
      </c>
      <c r="K13" s="537"/>
      <c r="L13" s="538"/>
      <c r="M13" s="538"/>
      <c r="N13" s="539">
        <f>SUMIF('6. Prioritization'!$N$7:$N$106,B13,'6. Prioritization'!R$7:R$106)/'2. Setup'!$D$36</f>
        <v>0</v>
      </c>
      <c r="O13" s="539"/>
      <c r="P13" s="539"/>
      <c r="Q13" s="540"/>
      <c r="R13" s="541">
        <f>SUMIF('6. Prioritization'!$N$7:$N$106, B13, '6. Prioritization'!Q$7:Q$106)</f>
        <v>0</v>
      </c>
      <c r="S13" s="537"/>
      <c r="T13" s="538"/>
      <c r="U13" s="538"/>
      <c r="V13" s="534">
        <f>SUMIF('6. Prioritization'!$N$7:$N$106, B13, '6. Prioritization'!S$7:S$106)</f>
        <v>0</v>
      </c>
      <c r="W13" s="534"/>
      <c r="X13" s="534"/>
      <c r="Y13" s="591"/>
      <c r="AA13" s="592" t="s">
        <v>484</v>
      </c>
      <c r="AB13" s="593"/>
      <c r="AC13" s="593"/>
      <c r="AD13" s="593"/>
      <c r="AE13" s="593"/>
      <c r="AF13" s="593"/>
      <c r="AG13" s="594"/>
      <c r="AH13" s="598">
        <f>SUM(E13:I22)</f>
        <v>15</v>
      </c>
      <c r="AI13" s="599"/>
      <c r="AJ13" s="599"/>
      <c r="AK13" s="599"/>
      <c r="AL13" s="599"/>
      <c r="AM13" s="600"/>
    </row>
    <row r="14" spans="2:45" s="1" customFormat="1" ht="15" customHeight="1" x14ac:dyDescent="0.2">
      <c r="B14" s="461"/>
      <c r="C14" s="462"/>
      <c r="D14" s="462"/>
      <c r="E14" s="534"/>
      <c r="F14" s="534"/>
      <c r="G14" s="534"/>
      <c r="H14" s="534"/>
      <c r="I14" s="535"/>
      <c r="J14" s="536"/>
      <c r="K14" s="537"/>
      <c r="L14" s="538"/>
      <c r="M14" s="538"/>
      <c r="N14" s="539"/>
      <c r="O14" s="539"/>
      <c r="P14" s="539"/>
      <c r="Q14" s="540"/>
      <c r="R14" s="541"/>
      <c r="S14" s="537"/>
      <c r="T14" s="538"/>
      <c r="U14" s="538"/>
      <c r="V14" s="534"/>
      <c r="W14" s="534"/>
      <c r="X14" s="534"/>
      <c r="Y14" s="591"/>
      <c r="AA14" s="595"/>
      <c r="AB14" s="596"/>
      <c r="AC14" s="596"/>
      <c r="AD14" s="596"/>
      <c r="AE14" s="596"/>
      <c r="AF14" s="596"/>
      <c r="AG14" s="597"/>
      <c r="AH14" s="601"/>
      <c r="AI14" s="602"/>
      <c r="AJ14" s="602"/>
      <c r="AK14" s="602"/>
      <c r="AL14" s="602"/>
      <c r="AM14" s="603"/>
    </row>
    <row r="15" spans="2:45" s="1" customFormat="1" ht="15" customHeight="1" x14ac:dyDescent="0.2">
      <c r="B15" s="604">
        <v>1</v>
      </c>
      <c r="C15" s="605"/>
      <c r="D15" s="605"/>
      <c r="E15" s="576">
        <f>COUNTIF('6. Prioritization'!$N$7:$N$46, 1)</f>
        <v>3</v>
      </c>
      <c r="F15" s="577"/>
      <c r="G15" s="577"/>
      <c r="H15" s="577"/>
      <c r="I15" s="606"/>
      <c r="J15" s="562">
        <f>SUMIF('6. Prioritization'!$N$7:$N$106, B15, '6. Prioritization'!P$7:P$106)</f>
        <v>125000</v>
      </c>
      <c r="K15" s="563"/>
      <c r="L15" s="563"/>
      <c r="M15" s="564"/>
      <c r="N15" s="568">
        <f>SUMIF('6. Prioritization'!$N$7:$N$106,B15,'6. Prioritization'!R$7:R$106)/'2. Setup'!$D$36</f>
        <v>0.24489795918367346</v>
      </c>
      <c r="O15" s="569"/>
      <c r="P15" s="569"/>
      <c r="Q15" s="570"/>
      <c r="R15" s="574">
        <f>SUMIF('6. Prioritization'!$N$7:$N$106, B15, '6. Prioritization'!Q$7:Q$106)</f>
        <v>55000</v>
      </c>
      <c r="S15" s="563"/>
      <c r="T15" s="563"/>
      <c r="U15" s="564"/>
      <c r="V15" s="576">
        <f>SUMIF('6. Prioritization'!$N$7:$N$106, B15, '6. Prioritization'!S$7:S$106)</f>
        <v>1</v>
      </c>
      <c r="W15" s="577"/>
      <c r="X15" s="577"/>
      <c r="Y15" s="578"/>
      <c r="AA15" s="542" t="s">
        <v>485</v>
      </c>
      <c r="AB15" s="543"/>
      <c r="AC15" s="543"/>
      <c r="AD15" s="543"/>
      <c r="AE15" s="543"/>
      <c r="AF15" s="543"/>
      <c r="AG15" s="544"/>
      <c r="AH15" s="548">
        <f>SUM(J13:M22)</f>
        <v>710000</v>
      </c>
      <c r="AI15" s="549"/>
      <c r="AJ15" s="549"/>
      <c r="AK15" s="549"/>
      <c r="AL15" s="549"/>
      <c r="AM15" s="550"/>
    </row>
    <row r="16" spans="2:45" s="1" customFormat="1" ht="15" customHeight="1" thickBot="1" x14ac:dyDescent="0.25">
      <c r="B16" s="604"/>
      <c r="C16" s="605"/>
      <c r="D16" s="605"/>
      <c r="E16" s="579"/>
      <c r="F16" s="580"/>
      <c r="G16" s="580"/>
      <c r="H16" s="580"/>
      <c r="I16" s="607"/>
      <c r="J16" s="565"/>
      <c r="K16" s="566"/>
      <c r="L16" s="566"/>
      <c r="M16" s="567"/>
      <c r="N16" s="571"/>
      <c r="O16" s="572"/>
      <c r="P16" s="572"/>
      <c r="Q16" s="573"/>
      <c r="R16" s="575"/>
      <c r="S16" s="566"/>
      <c r="T16" s="566"/>
      <c r="U16" s="567"/>
      <c r="V16" s="579"/>
      <c r="W16" s="580"/>
      <c r="X16" s="580"/>
      <c r="Y16" s="581"/>
      <c r="AA16" s="545"/>
      <c r="AB16" s="546"/>
      <c r="AC16" s="546"/>
      <c r="AD16" s="546"/>
      <c r="AE16" s="546"/>
      <c r="AF16" s="546"/>
      <c r="AG16" s="547"/>
      <c r="AH16" s="551"/>
      <c r="AI16" s="552"/>
      <c r="AJ16" s="552"/>
      <c r="AK16" s="552"/>
      <c r="AL16" s="552"/>
      <c r="AM16" s="553"/>
    </row>
    <row r="17" spans="2:39" s="1" customFormat="1" ht="15" customHeight="1" x14ac:dyDescent="0.2">
      <c r="B17" s="461">
        <v>2</v>
      </c>
      <c r="C17" s="462"/>
      <c r="D17" s="462"/>
      <c r="E17" s="465">
        <f>COUNTIF('6. Prioritization'!$N$7:$N$46, 2)</f>
        <v>4</v>
      </c>
      <c r="F17" s="466"/>
      <c r="G17" s="466"/>
      <c r="H17" s="466"/>
      <c r="I17" s="467"/>
      <c r="J17" s="471">
        <f>SUMIF('6. Prioritization'!$N$7:$N$106, B17, '6. Prioritization'!P$7:P$106)</f>
        <v>225000</v>
      </c>
      <c r="K17" s="472"/>
      <c r="L17" s="472"/>
      <c r="M17" s="473"/>
      <c r="N17" s="477">
        <f>SUMIF('6. Prioritization'!$N$7:$N$106,B17,'6. Prioritization'!R$7:R$106)/'2. Setup'!$D$36</f>
        <v>0.36734693877551022</v>
      </c>
      <c r="O17" s="478"/>
      <c r="P17" s="478"/>
      <c r="Q17" s="479"/>
      <c r="R17" s="483">
        <f>SUMIF('6. Prioritization'!$N$7:$N$106, B17, '6. Prioritization'!Q$7:Q$106)</f>
        <v>180000</v>
      </c>
      <c r="S17" s="472"/>
      <c r="T17" s="472"/>
      <c r="U17" s="473"/>
      <c r="V17" s="465">
        <f>SUMIF('6. Prioritization'!$N$7:$N$106, B17, '6. Prioritization'!S$7:S$106)</f>
        <v>1.1000000000000001</v>
      </c>
      <c r="W17" s="466"/>
      <c r="X17" s="466"/>
      <c r="Y17" s="585"/>
      <c r="AA17"/>
      <c r="AB17"/>
      <c r="AC17"/>
      <c r="AD17"/>
      <c r="AE17"/>
      <c r="AF17"/>
      <c r="AG17"/>
      <c r="AH17"/>
      <c r="AI17"/>
      <c r="AJ17"/>
      <c r="AK17"/>
      <c r="AL17"/>
      <c r="AM17"/>
    </row>
    <row r="18" spans="2:39" s="1" customFormat="1" ht="15" customHeight="1" x14ac:dyDescent="0.2">
      <c r="B18" s="461"/>
      <c r="C18" s="462"/>
      <c r="D18" s="462"/>
      <c r="E18" s="586"/>
      <c r="F18" s="587"/>
      <c r="G18" s="587"/>
      <c r="H18" s="587"/>
      <c r="I18" s="608"/>
      <c r="J18" s="609"/>
      <c r="K18" s="583"/>
      <c r="L18" s="583"/>
      <c r="M18" s="584"/>
      <c r="N18" s="610"/>
      <c r="O18" s="611"/>
      <c r="P18" s="611"/>
      <c r="Q18" s="612"/>
      <c r="R18" s="582"/>
      <c r="S18" s="583"/>
      <c r="T18" s="583"/>
      <c r="U18" s="584"/>
      <c r="V18" s="586"/>
      <c r="W18" s="587"/>
      <c r="X18" s="587"/>
      <c r="Y18" s="588"/>
      <c r="AA18"/>
      <c r="AB18"/>
      <c r="AC18"/>
      <c r="AD18"/>
      <c r="AE18"/>
      <c r="AF18"/>
      <c r="AG18"/>
      <c r="AH18"/>
      <c r="AI18"/>
      <c r="AJ18"/>
      <c r="AK18"/>
      <c r="AL18"/>
      <c r="AM18"/>
    </row>
    <row r="19" spans="2:39" s="1" customFormat="1" ht="15" customHeight="1" x14ac:dyDescent="0.2">
      <c r="B19" s="554">
        <v>3</v>
      </c>
      <c r="C19" s="555"/>
      <c r="D19" s="555"/>
      <c r="E19" s="556">
        <f>COUNTIF('6. Prioritization'!$N$7:$N$46, 3)</f>
        <v>4</v>
      </c>
      <c r="F19" s="557"/>
      <c r="G19" s="557"/>
      <c r="H19" s="557"/>
      <c r="I19" s="558"/>
      <c r="J19" s="562">
        <f>SUMIF('6. Prioritization'!$N$7:$N$106, B19, '6. Prioritization'!P$7:P$106)</f>
        <v>225000</v>
      </c>
      <c r="K19" s="563"/>
      <c r="L19" s="563"/>
      <c r="M19" s="564"/>
      <c r="N19" s="568">
        <f>SUMIF('6. Prioritization'!$N$7:$N$106,B19,'6. Prioritization'!R$7:R$106)/'2. Setup'!$D$36</f>
        <v>0.15306122448979592</v>
      </c>
      <c r="O19" s="569"/>
      <c r="P19" s="569"/>
      <c r="Q19" s="570"/>
      <c r="R19" s="574">
        <f>SUMIF('6. Prioritization'!$N$7:$N$106, B19, '6. Prioritization'!Q$7:Q$106)</f>
        <v>65000</v>
      </c>
      <c r="S19" s="563"/>
      <c r="T19" s="563"/>
      <c r="U19" s="564"/>
      <c r="V19" s="576">
        <f>SUMIF('6. Prioritization'!$N$7:$N$106, B19, '6. Prioritization'!S$7:S$106)</f>
        <v>0.39999999999999997</v>
      </c>
      <c r="W19" s="577"/>
      <c r="X19" s="577"/>
      <c r="Y19" s="578"/>
      <c r="AA19"/>
      <c r="AB19"/>
      <c r="AC19"/>
      <c r="AD19"/>
      <c r="AE19"/>
      <c r="AF19"/>
      <c r="AG19"/>
      <c r="AH19"/>
      <c r="AI19"/>
      <c r="AJ19"/>
      <c r="AK19"/>
      <c r="AL19"/>
      <c r="AM19"/>
    </row>
    <row r="20" spans="2:39" s="1" customFormat="1" ht="15.75" customHeight="1" x14ac:dyDescent="0.2">
      <c r="B20" s="554"/>
      <c r="C20" s="555"/>
      <c r="D20" s="555"/>
      <c r="E20" s="559"/>
      <c r="F20" s="560"/>
      <c r="G20" s="560"/>
      <c r="H20" s="560"/>
      <c r="I20" s="561"/>
      <c r="J20" s="565"/>
      <c r="K20" s="566"/>
      <c r="L20" s="566"/>
      <c r="M20" s="567"/>
      <c r="N20" s="571"/>
      <c r="O20" s="572"/>
      <c r="P20" s="572"/>
      <c r="Q20" s="573"/>
      <c r="R20" s="575"/>
      <c r="S20" s="566"/>
      <c r="T20" s="566"/>
      <c r="U20" s="567"/>
      <c r="V20" s="579"/>
      <c r="W20" s="580"/>
      <c r="X20" s="580"/>
      <c r="Y20" s="581"/>
      <c r="AA20"/>
      <c r="AB20"/>
      <c r="AC20"/>
      <c r="AD20"/>
      <c r="AE20"/>
      <c r="AF20"/>
      <c r="AG20"/>
      <c r="AH20"/>
      <c r="AI20"/>
      <c r="AJ20"/>
      <c r="AK20"/>
      <c r="AL20"/>
      <c r="AM20"/>
    </row>
    <row r="21" spans="2:39" s="1" customFormat="1" ht="15" customHeight="1" x14ac:dyDescent="0.2">
      <c r="B21" s="461">
        <v>4</v>
      </c>
      <c r="C21" s="462"/>
      <c r="D21" s="462"/>
      <c r="E21" s="465">
        <f>COUNTIF('6. Prioritization'!$N$7:$N$46, 4)</f>
        <v>4</v>
      </c>
      <c r="F21" s="466"/>
      <c r="G21" s="466"/>
      <c r="H21" s="466"/>
      <c r="I21" s="467"/>
      <c r="J21" s="471">
        <f>SUMIF('6. Prioritization'!$N$7:$N$106, B21, '6. Prioritization'!P$7:P$106)</f>
        <v>135000</v>
      </c>
      <c r="K21" s="472"/>
      <c r="L21" s="472"/>
      <c r="M21" s="473"/>
      <c r="N21" s="477">
        <f>SUMIF('6. Prioritization'!$N$7:$N$106,B21,'6. Prioritization'!R$7:R$106)/'2. Setup'!$D$36</f>
        <v>0.19897959183673469</v>
      </c>
      <c r="O21" s="478"/>
      <c r="P21" s="478"/>
      <c r="Q21" s="479"/>
      <c r="R21" s="483">
        <f>SUMIF('6. Prioritization'!$N$7:$N$106, B21, '6. Prioritization'!Q$7:Q$106)</f>
        <v>65000</v>
      </c>
      <c r="S21" s="472"/>
      <c r="T21" s="472"/>
      <c r="U21" s="473"/>
      <c r="V21" s="465">
        <f>SUMIF('6. Prioritization'!$N$7:$N$106, B21, '6. Prioritization'!S$7:S$106)</f>
        <v>0.55000000000000004</v>
      </c>
      <c r="W21" s="466"/>
      <c r="X21" s="466"/>
      <c r="Y21" s="585"/>
      <c r="AA21"/>
      <c r="AB21"/>
      <c r="AC21"/>
      <c r="AD21"/>
      <c r="AE21"/>
      <c r="AF21"/>
      <c r="AG21"/>
      <c r="AH21"/>
      <c r="AI21"/>
      <c r="AJ21"/>
      <c r="AK21"/>
      <c r="AL21"/>
      <c r="AM21"/>
    </row>
    <row r="22" spans="2:39" s="1" customFormat="1" ht="15" customHeight="1" thickBot="1" x14ac:dyDescent="0.25">
      <c r="B22" s="463"/>
      <c r="C22" s="464"/>
      <c r="D22" s="464"/>
      <c r="E22" s="468"/>
      <c r="F22" s="469"/>
      <c r="G22" s="469"/>
      <c r="H22" s="469"/>
      <c r="I22" s="470"/>
      <c r="J22" s="474"/>
      <c r="K22" s="475"/>
      <c r="L22" s="475"/>
      <c r="M22" s="476"/>
      <c r="N22" s="480"/>
      <c r="O22" s="481"/>
      <c r="P22" s="481"/>
      <c r="Q22" s="482"/>
      <c r="R22" s="484"/>
      <c r="S22" s="485"/>
      <c r="T22" s="485"/>
      <c r="U22" s="486"/>
      <c r="V22" s="613"/>
      <c r="W22" s="614"/>
      <c r="X22" s="614"/>
      <c r="Y22" s="615"/>
      <c r="AA22"/>
      <c r="AB22"/>
      <c r="AC22"/>
      <c r="AD22"/>
      <c r="AE22"/>
      <c r="AF22"/>
      <c r="AG22"/>
      <c r="AH22"/>
      <c r="AI22"/>
      <c r="AJ22"/>
      <c r="AK22"/>
      <c r="AL22"/>
      <c r="AM22"/>
    </row>
    <row r="23" spans="2:39" s="1" customFormat="1" ht="15" customHeight="1" x14ac:dyDescent="0.2">
      <c r="B23" s="239"/>
      <c r="C23" s="239"/>
      <c r="D23" s="239"/>
      <c r="E23" s="240"/>
      <c r="F23" s="240"/>
      <c r="G23" s="240"/>
      <c r="H23" s="240"/>
      <c r="I23" s="240"/>
      <c r="J23" s="241"/>
      <c r="K23" s="241"/>
      <c r="L23" s="241"/>
      <c r="M23" s="241"/>
      <c r="N23" s="242"/>
      <c r="O23" s="242"/>
      <c r="P23" s="242"/>
      <c r="Q23" s="242"/>
      <c r="R23" s="241"/>
      <c r="S23" s="241"/>
      <c r="T23" s="241"/>
      <c r="U23" s="241"/>
      <c r="V23" s="240"/>
      <c r="W23" s="240"/>
      <c r="X23" s="240"/>
      <c r="Y23" s="240"/>
      <c r="AA23"/>
      <c r="AB23"/>
      <c r="AC23"/>
      <c r="AD23"/>
      <c r="AE23"/>
      <c r="AF23"/>
      <c r="AG23"/>
      <c r="AH23"/>
      <c r="AI23"/>
      <c r="AJ23"/>
      <c r="AK23"/>
      <c r="AL23"/>
      <c r="AM23"/>
    </row>
    <row r="24" spans="2:39" s="1" customFormat="1" ht="12.6" customHeight="1" x14ac:dyDescent="0.2">
      <c r="B24" s="456" t="s">
        <v>486</v>
      </c>
      <c r="C24" s="456"/>
      <c r="D24" s="456"/>
      <c r="E24" s="456"/>
      <c r="F24" s="456"/>
      <c r="G24" s="456"/>
      <c r="H24" s="456"/>
      <c r="I24" s="456"/>
      <c r="J24" s="456"/>
      <c r="K24" s="456"/>
      <c r="L24" s="456"/>
      <c r="M24" s="456"/>
      <c r="N24" s="456"/>
      <c r="O24" s="456"/>
      <c r="P24" s="456"/>
      <c r="Q24" s="456"/>
      <c r="R24" s="456"/>
      <c r="S24" s="456"/>
      <c r="T24" s="456"/>
      <c r="U24" s="456"/>
      <c r="V24" s="456"/>
      <c r="W24" s="456"/>
      <c r="X24" s="456"/>
      <c r="Y24" s="456"/>
      <c r="Z24" s="456"/>
      <c r="AA24" s="456"/>
      <c r="AB24" s="456"/>
      <c r="AC24" s="456"/>
      <c r="AD24" s="456"/>
      <c r="AE24" s="456"/>
      <c r="AF24" s="456"/>
      <c r="AG24" s="456"/>
      <c r="AH24" s="456"/>
      <c r="AI24" s="456"/>
      <c r="AJ24" s="456"/>
      <c r="AK24" s="456"/>
      <c r="AL24" s="456"/>
      <c r="AM24" s="456"/>
    </row>
    <row r="25" spans="2:39" s="1" customFormat="1" ht="12.6" customHeight="1" x14ac:dyDescent="0.2">
      <c r="B25" s="456"/>
      <c r="C25" s="456"/>
      <c r="D25" s="456"/>
      <c r="E25" s="456"/>
      <c r="F25" s="456"/>
      <c r="G25" s="456"/>
      <c r="H25" s="456"/>
      <c r="I25" s="456"/>
      <c r="J25" s="456"/>
      <c r="K25" s="456"/>
      <c r="L25" s="456"/>
      <c r="M25" s="456"/>
      <c r="N25" s="456"/>
      <c r="O25" s="456"/>
      <c r="P25" s="456"/>
      <c r="Q25" s="456"/>
      <c r="R25" s="456"/>
      <c r="S25" s="456"/>
      <c r="T25" s="456"/>
      <c r="U25" s="456"/>
      <c r="V25" s="456"/>
      <c r="W25" s="456"/>
      <c r="X25" s="456"/>
      <c r="Y25" s="456"/>
      <c r="Z25" s="456"/>
      <c r="AA25" s="456"/>
      <c r="AB25" s="456"/>
      <c r="AC25" s="456"/>
      <c r="AD25" s="456"/>
      <c r="AE25" s="456"/>
      <c r="AF25" s="456"/>
      <c r="AG25" s="456"/>
      <c r="AH25" s="456"/>
      <c r="AI25" s="456"/>
      <c r="AJ25" s="456"/>
      <c r="AK25" s="456"/>
      <c r="AL25" s="456"/>
      <c r="AM25" s="456"/>
    </row>
    <row r="26" spans="2:39" s="1" customFormat="1" ht="12.6" customHeight="1" x14ac:dyDescent="0.2">
      <c r="B26" s="456"/>
      <c r="C26" s="456"/>
      <c r="D26" s="456"/>
      <c r="E26" s="456"/>
      <c r="F26" s="456"/>
      <c r="G26" s="456"/>
      <c r="H26" s="456"/>
      <c r="I26" s="456"/>
      <c r="J26" s="456"/>
      <c r="K26" s="456"/>
      <c r="L26" s="456"/>
      <c r="M26" s="456"/>
      <c r="N26" s="456"/>
      <c r="O26" s="456"/>
      <c r="P26" s="456"/>
      <c r="Q26" s="456"/>
      <c r="R26" s="456"/>
      <c r="S26" s="456"/>
      <c r="T26" s="456"/>
      <c r="U26" s="456"/>
      <c r="V26" s="456"/>
      <c r="W26" s="456"/>
      <c r="X26" s="456"/>
      <c r="Y26" s="456"/>
      <c r="Z26" s="456"/>
      <c r="AA26" s="456"/>
      <c r="AB26" s="456"/>
      <c r="AC26" s="456"/>
      <c r="AD26" s="456"/>
      <c r="AE26" s="456"/>
      <c r="AF26" s="456"/>
      <c r="AG26" s="456"/>
      <c r="AH26" s="456"/>
      <c r="AI26" s="456"/>
      <c r="AJ26" s="456"/>
      <c r="AK26" s="456"/>
      <c r="AL26" s="456"/>
      <c r="AM26" s="456"/>
    </row>
    <row r="27" spans="2:39" s="1" customFormat="1" ht="15" customHeight="1" x14ac:dyDescent="0.2">
      <c r="B27" s="239"/>
      <c r="C27" s="239"/>
      <c r="D27" s="239"/>
      <c r="E27" s="240"/>
      <c r="F27" s="240"/>
      <c r="G27" s="240"/>
      <c r="H27" s="240"/>
      <c r="I27" s="240"/>
      <c r="J27" s="241"/>
      <c r="K27" s="241"/>
      <c r="L27" s="241"/>
      <c r="M27" s="241"/>
      <c r="N27" s="242"/>
      <c r="O27" s="242"/>
      <c r="P27" s="242"/>
      <c r="Q27" s="242"/>
      <c r="R27" s="241"/>
      <c r="S27" s="241"/>
      <c r="T27" s="241"/>
      <c r="U27" s="241"/>
      <c r="V27" s="240"/>
      <c r="W27" s="240"/>
      <c r="X27" s="240"/>
      <c r="Y27" s="240"/>
      <c r="AA27" s="239"/>
      <c r="AB27" s="239"/>
      <c r="AC27" s="239"/>
      <c r="AD27" s="239"/>
      <c r="AE27" s="239"/>
      <c r="AF27" s="239"/>
      <c r="AG27" s="239"/>
      <c r="AH27" s="240"/>
      <c r="AI27" s="240"/>
      <c r="AJ27" s="240"/>
      <c r="AK27" s="240"/>
      <c r="AL27" s="240"/>
      <c r="AM27" s="240"/>
    </row>
    <row r="28" spans="2:39" s="1" customFormat="1" ht="75" customHeight="1" x14ac:dyDescent="0.2">
      <c r="B28" s="496" t="s">
        <v>62</v>
      </c>
      <c r="C28" s="497"/>
      <c r="D28" s="497"/>
      <c r="E28" s="498"/>
      <c r="F28" s="589">
        <f>AVERAGE('9. List &amp; Calc'!K126:K130)</f>
        <v>2.2009523809523812</v>
      </c>
      <c r="G28" s="590"/>
      <c r="H28" s="619" t="str">
        <f>VLOOKUP(VALUE(LEFT($F$28,2)),'9. List &amp; Calc'!C6:D10,2,FALSE)</f>
        <v>Basic tools, checklists, or templates help humans find issues or follow best practices, but people still decide and perform every task.</v>
      </c>
      <c r="I28" s="620"/>
      <c r="J28" s="620"/>
      <c r="K28" s="620"/>
      <c r="L28" s="620"/>
      <c r="M28" s="620"/>
      <c r="N28" s="620"/>
      <c r="O28" s="620"/>
      <c r="P28" s="620"/>
      <c r="Q28" s="621"/>
      <c r="U28" s="616" t="s">
        <v>63</v>
      </c>
      <c r="V28" s="617"/>
      <c r="W28" s="617"/>
      <c r="X28" s="618"/>
      <c r="Y28" s="589">
        <f>AVERAGE('9. List &amp; Calc'!R126:R130)</f>
        <v>3.2276190476190472</v>
      </c>
      <c r="Z28" s="590"/>
      <c r="AA28" s="619" t="str">
        <f>VLOOKUP(VALUE(LEFT($Y$28,2)),'9. List &amp; Calc'!C6:D10,2,FALSE)</f>
        <v>Tool-driven, multi-step workflows carry out security tasks end-to-end (e.g. scans → PRs → tests) while humans provide oversight and final approval at defined risk gates.</v>
      </c>
      <c r="AB28" s="620"/>
      <c r="AC28" s="620"/>
      <c r="AD28" s="620"/>
      <c r="AE28" s="620"/>
      <c r="AF28" s="620"/>
      <c r="AG28" s="620"/>
      <c r="AH28" s="620"/>
      <c r="AI28" s="620"/>
      <c r="AJ28" s="621"/>
    </row>
    <row r="30" spans="2:39" ht="34.5" customHeight="1" x14ac:dyDescent="0.2">
      <c r="B30" s="456" t="s">
        <v>487</v>
      </c>
      <c r="C30" s="456"/>
      <c r="D30" s="456"/>
      <c r="E30" s="456"/>
      <c r="F30" s="456"/>
      <c r="G30" s="456"/>
      <c r="H30" s="456"/>
      <c r="I30" s="456"/>
      <c r="J30" s="456"/>
      <c r="K30" s="456"/>
      <c r="L30" s="456"/>
      <c r="M30" s="456"/>
      <c r="N30" s="456"/>
      <c r="O30" s="456"/>
      <c r="P30" s="456"/>
      <c r="Q30" s="456"/>
      <c r="R30" s="456"/>
      <c r="S30" s="456"/>
      <c r="T30" s="456"/>
      <c r="U30" s="456"/>
      <c r="V30" s="456"/>
      <c r="W30" s="456"/>
      <c r="X30" s="456"/>
      <c r="Y30" s="456"/>
      <c r="Z30" s="456"/>
      <c r="AA30" s="456"/>
      <c r="AB30" s="456"/>
      <c r="AC30" s="456"/>
      <c r="AD30" s="456"/>
      <c r="AE30" s="456"/>
      <c r="AF30" s="456"/>
      <c r="AG30" s="456"/>
      <c r="AH30" s="456"/>
      <c r="AI30" s="456"/>
      <c r="AJ30" s="456"/>
      <c r="AK30" s="456"/>
      <c r="AL30" s="456"/>
      <c r="AM30" s="456"/>
    </row>
    <row r="31" spans="2:39" ht="12.6" customHeight="1" x14ac:dyDescent="0.2">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spans="2:39" ht="12.6" customHeight="1" x14ac:dyDescent="0.2">
      <c r="B32" s="499" t="s">
        <v>488</v>
      </c>
      <c r="C32" s="499"/>
      <c r="D32" s="499"/>
      <c r="E32" s="499"/>
      <c r="F32" s="499"/>
      <c r="G32" s="499"/>
      <c r="H32" s="499"/>
      <c r="I32" s="499"/>
      <c r="J32" s="499"/>
      <c r="K32" s="499"/>
      <c r="L32" s="499"/>
      <c r="M32" s="499"/>
      <c r="N32" s="499"/>
      <c r="O32" s="499"/>
      <c r="P32" s="499"/>
      <c r="Q32" s="499"/>
      <c r="R32" s="499"/>
      <c r="S32" s="499"/>
      <c r="T32" s="499"/>
      <c r="U32" s="499"/>
      <c r="V32" s="499"/>
      <c r="W32" s="499"/>
      <c r="X32" s="499"/>
      <c r="Y32" s="499"/>
      <c r="Z32" s="499"/>
      <c r="AA32" s="499"/>
      <c r="AB32" s="499"/>
      <c r="AC32" s="499"/>
      <c r="AD32" s="499"/>
      <c r="AE32" s="499"/>
      <c r="AF32" s="499"/>
      <c r="AG32" s="499"/>
      <c r="AH32" s="499"/>
      <c r="AI32" s="499"/>
      <c r="AJ32" s="499"/>
      <c r="AK32" s="499"/>
      <c r="AL32" s="499"/>
      <c r="AM32" s="499"/>
    </row>
    <row r="35" spans="2:2" ht="15" customHeight="1" x14ac:dyDescent="0.2">
      <c r="B35" s="74"/>
    </row>
    <row r="75" spans="2:47" ht="18" x14ac:dyDescent="0.2">
      <c r="B75" s="499" t="s">
        <v>489</v>
      </c>
      <c r="C75" s="499"/>
      <c r="D75" s="499"/>
      <c r="E75" s="499"/>
      <c r="F75" s="499"/>
      <c r="G75" s="499"/>
      <c r="H75" s="499"/>
      <c r="I75" s="499"/>
      <c r="J75" s="499"/>
      <c r="K75" s="499"/>
      <c r="L75" s="499"/>
      <c r="M75" s="499"/>
      <c r="N75" s="499"/>
      <c r="O75" s="499"/>
      <c r="P75" s="499"/>
      <c r="Q75" s="499"/>
      <c r="R75" s="499"/>
      <c r="S75" s="499"/>
      <c r="T75" s="499"/>
      <c r="U75" s="499"/>
      <c r="V75" s="499"/>
      <c r="W75" s="499"/>
      <c r="X75" s="499"/>
      <c r="Y75" s="499"/>
      <c r="Z75" s="499"/>
      <c r="AA75" s="499"/>
      <c r="AB75" s="499"/>
      <c r="AC75" s="499"/>
      <c r="AD75" s="499"/>
      <c r="AE75" s="499"/>
      <c r="AF75" s="499"/>
      <c r="AG75" s="499"/>
      <c r="AH75" s="499"/>
      <c r="AI75" s="499"/>
      <c r="AJ75" s="499"/>
      <c r="AK75" s="499"/>
      <c r="AL75" s="499"/>
      <c r="AM75" s="499"/>
      <c r="AN75" s="499"/>
      <c r="AO75" s="499"/>
      <c r="AP75" s="499"/>
      <c r="AQ75" s="499"/>
      <c r="AR75" s="499"/>
      <c r="AS75" s="499"/>
      <c r="AT75" s="499"/>
      <c r="AU75" s="499"/>
    </row>
    <row r="178" spans="2:39" ht="24" customHeight="1" x14ac:dyDescent="0.2">
      <c r="B178" s="456" t="s">
        <v>490</v>
      </c>
      <c r="C178" s="456"/>
      <c r="D178" s="456"/>
      <c r="E178" s="456"/>
      <c r="F178" s="456"/>
      <c r="G178" s="456"/>
      <c r="H178" s="456"/>
      <c r="I178" s="456"/>
      <c r="J178" s="456"/>
      <c r="K178" s="456"/>
      <c r="L178" s="456"/>
      <c r="M178" s="456"/>
      <c r="N178" s="456"/>
      <c r="O178" s="456"/>
      <c r="P178" s="456"/>
      <c r="Q178" s="456"/>
      <c r="R178" s="456"/>
      <c r="S178" s="456"/>
      <c r="T178" s="456"/>
      <c r="U178" s="456"/>
      <c r="V178" s="456"/>
      <c r="W178" s="456"/>
      <c r="X178" s="456"/>
      <c r="Y178" s="456"/>
      <c r="Z178" s="456"/>
      <c r="AA178" s="456"/>
      <c r="AB178" s="456"/>
      <c r="AC178" s="456"/>
      <c r="AD178" s="456"/>
      <c r="AE178" s="456"/>
      <c r="AF178" s="456"/>
      <c r="AG178" s="456"/>
      <c r="AH178" s="456"/>
      <c r="AI178" s="456"/>
      <c r="AJ178" s="456"/>
      <c r="AK178" s="456"/>
      <c r="AL178" s="456"/>
      <c r="AM178" s="456"/>
    </row>
    <row r="181" spans="2:39" ht="15" x14ac:dyDescent="0.25">
      <c r="B181" s="2" t="s">
        <v>491</v>
      </c>
    </row>
    <row r="183" spans="2:39" ht="33" customHeight="1" x14ac:dyDescent="0.25">
      <c r="B183" s="487" t="s">
        <v>492</v>
      </c>
      <c r="C183" s="488"/>
      <c r="D183" s="489" t="s">
        <v>421</v>
      </c>
      <c r="E183" s="490"/>
      <c r="F183" s="491"/>
      <c r="G183" s="487" t="s">
        <v>81</v>
      </c>
      <c r="H183" s="492"/>
      <c r="I183" s="489" t="s">
        <v>61</v>
      </c>
      <c r="J183" s="490"/>
      <c r="K183" s="490"/>
      <c r="L183" s="490"/>
      <c r="M183" s="490"/>
      <c r="N183" s="490"/>
      <c r="O183" s="490"/>
      <c r="P183" s="491"/>
      <c r="Q183" s="493" t="s">
        <v>493</v>
      </c>
      <c r="R183" s="494"/>
      <c r="S183" s="494"/>
      <c r="T183" s="494"/>
      <c r="U183" s="495"/>
      <c r="V183" s="493" t="s">
        <v>494</v>
      </c>
      <c r="W183" s="494"/>
      <c r="X183" s="494"/>
      <c r="Y183" s="494"/>
      <c r="Z183" s="495"/>
      <c r="AA183" s="493" t="s">
        <v>495</v>
      </c>
      <c r="AB183" s="494"/>
    </row>
    <row r="184" spans="2:39" x14ac:dyDescent="0.2">
      <c r="B184" s="460">
        <v>1</v>
      </c>
      <c r="C184" s="460"/>
      <c r="D184" s="446" t="str">
        <f>IF('9. List &amp; Calc'!$B227="", "", _xlfn.XLOOKUP('9. List &amp; Calc'!$B227, '9. List &amp; Calc'!$D$92:$D$121, '9. List &amp; Calc'!$B$92:$B$121,,0))</f>
        <v>Build</v>
      </c>
      <c r="E184" s="446"/>
      <c r="F184" s="446"/>
      <c r="G184" s="460" t="str">
        <f>IF('9. List &amp; Calc'!$B227="", "", _xlfn.XLOOKUP('9. List &amp; Calc'!$B227, '9. List &amp; Calc'!$D$92:$D$121, '9. List &amp; Calc'!$C$92:$C$121,,0))</f>
        <v>BU.01</v>
      </c>
      <c r="H184" s="460"/>
      <c r="I184" s="356" t="str">
        <f>IF('9. List &amp; Calc'!B227="", "", '9. List &amp; Calc'!B227)</f>
        <v>Secure Coding Practices &amp; Training</v>
      </c>
      <c r="J184" s="356"/>
      <c r="K184" s="356"/>
      <c r="L184" s="356"/>
      <c r="M184" s="356"/>
      <c r="N184" s="356"/>
      <c r="O184" s="356"/>
      <c r="P184" s="356"/>
      <c r="Q184" s="460">
        <f>IF('9. List &amp; Calc'!$B227="", "", _xlfn.XLOOKUP('9. List &amp; Calc'!$B227, '9. List &amp; Calc'!$D$92:$D$121, '9. List &amp; Calc'!$E$92:$E$121,,0))</f>
        <v>2</v>
      </c>
      <c r="R184" s="460"/>
      <c r="S184" s="460"/>
      <c r="T184" s="460"/>
      <c r="U184" s="460"/>
      <c r="V184" s="460">
        <f>IF('9. List &amp; Calc'!$B227="", "", _xlfn.XLOOKUP('9. List &amp; Calc'!$B227, '9. List &amp; Calc'!$D$92:$D$121, '9. List &amp; Calc'!$F$92:$F$121,,0))</f>
        <v>3</v>
      </c>
      <c r="W184" s="460"/>
      <c r="X184" s="460"/>
      <c r="Y184" s="460"/>
      <c r="Z184" s="460"/>
      <c r="AA184" s="460">
        <f>IF('9. List &amp; Calc'!$B227="", "", _xlfn.XLOOKUP('9. List &amp; Calc'!$B227, '9. List &amp; Calc'!$D$92:$D$121, '9. List &amp; Calc'!$H$92:$H$121,,0))</f>
        <v>2</v>
      </c>
      <c r="AB184" s="460"/>
    </row>
    <row r="185" spans="2:39" x14ac:dyDescent="0.2">
      <c r="B185" s="457">
        <v>2</v>
      </c>
      <c r="C185" s="457"/>
      <c r="D185" s="447" t="str">
        <f>IF('9. List &amp; Calc'!$B228="", "", _xlfn.XLOOKUP('9. List &amp; Calc'!$B228, '9. List &amp; Calc'!$D$92:$D$121, '9. List &amp; Calc'!$B$92:$B$121,,0))</f>
        <v>Test</v>
      </c>
      <c r="E185" s="447"/>
      <c r="F185" s="447"/>
      <c r="G185" s="457" t="str">
        <f>IF('9. List &amp; Calc'!$B228="", "", _xlfn.XLOOKUP('9. List &amp; Calc'!$B228, '9. List &amp; Calc'!$D$92:$D$121, '9. List &amp; Calc'!$C$92:$C$121,,0))</f>
        <v>TE.01</v>
      </c>
      <c r="H185" s="457"/>
      <c r="I185" s="357" t="str">
        <f>IF('9. List &amp; Calc'!B228="", "", '9. List &amp; Calc'!B228)</f>
        <v>Automated Security Testing</v>
      </c>
      <c r="J185" s="357"/>
      <c r="K185" s="357"/>
      <c r="L185" s="357"/>
      <c r="M185" s="357"/>
      <c r="N185" s="357"/>
      <c r="O185" s="357"/>
      <c r="P185" s="357"/>
      <c r="Q185" s="457">
        <f>IF('9. List &amp; Calc'!$B228="", "", _xlfn.XLOOKUP('9. List &amp; Calc'!$B228, '9. List &amp; Calc'!$D$92:$D$121, '9. List &amp; Calc'!$E$92:$E$121,,0))</f>
        <v>1</v>
      </c>
      <c r="R185" s="457"/>
      <c r="S185" s="457"/>
      <c r="T185" s="457"/>
      <c r="U185" s="457"/>
      <c r="V185" s="457">
        <f>IF('9. List &amp; Calc'!$B228="", "", _xlfn.XLOOKUP('9. List &amp; Calc'!$B228, '9. List &amp; Calc'!$D$92:$D$121, '9. List &amp; Calc'!$F$92:$F$121,,0))</f>
        <v>2</v>
      </c>
      <c r="W185" s="457"/>
      <c r="X185" s="457"/>
      <c r="Y185" s="457"/>
      <c r="Z185" s="457"/>
      <c r="AA185" s="457">
        <f>IF('9. List &amp; Calc'!$B228="", "", _xlfn.XLOOKUP('9. List &amp; Calc'!$B228, '9. List &amp; Calc'!$D$92:$D$121, '9. List &amp; Calc'!$H$92:$H$121,,0))</f>
        <v>2</v>
      </c>
      <c r="AB185" s="457"/>
    </row>
    <row r="186" spans="2:39" x14ac:dyDescent="0.2">
      <c r="B186" s="460">
        <v>3</v>
      </c>
      <c r="C186" s="460"/>
      <c r="D186" s="446" t="str">
        <f>IF('9. List &amp; Calc'!$B229="", "", _xlfn.XLOOKUP('9. List &amp; Calc'!$B229, '9. List &amp; Calc'!$D$92:$D$121, '9. List &amp; Calc'!$B$92:$B$121,,0))</f>
        <v>Analyze &amp; Design</v>
      </c>
      <c r="E186" s="446"/>
      <c r="F186" s="446"/>
      <c r="G186" s="460" t="str">
        <f>IF('9. List &amp; Calc'!$B229="", "", _xlfn.XLOOKUP('9. List &amp; Calc'!$B229, '9. List &amp; Calc'!$D$92:$D$121, '9. List &amp; Calc'!$C$92:$C$121,,0))</f>
        <v>AD.02</v>
      </c>
      <c r="H186" s="460"/>
      <c r="I186" s="356" t="str">
        <f>IF('9. List &amp; Calc'!B229="", "", '9. List &amp; Calc'!B229)</f>
        <v>Threat Modeling</v>
      </c>
      <c r="J186" s="356"/>
      <c r="K186" s="356"/>
      <c r="L186" s="356"/>
      <c r="M186" s="356"/>
      <c r="N186" s="356"/>
      <c r="O186" s="356"/>
      <c r="P186" s="356"/>
      <c r="Q186" s="460">
        <f>IF('9. List &amp; Calc'!$B229="", "", _xlfn.XLOOKUP('9. List &amp; Calc'!$B229, '9. List &amp; Calc'!$D$92:$D$121, '9. List &amp; Calc'!$E$92:$E$121,,0))</f>
        <v>1</v>
      </c>
      <c r="R186" s="460"/>
      <c r="S186" s="460"/>
      <c r="T186" s="460"/>
      <c r="U186" s="460"/>
      <c r="V186" s="460">
        <f>IF('9. List &amp; Calc'!$B229="", "", _xlfn.XLOOKUP('9. List &amp; Calc'!$B229, '9. List &amp; Calc'!$D$92:$D$121, '9. List &amp; Calc'!$F$92:$F$121,,0))</f>
        <v>3</v>
      </c>
      <c r="W186" s="460"/>
      <c r="X186" s="460"/>
      <c r="Y186" s="460"/>
      <c r="Z186" s="460"/>
      <c r="AA186" s="460">
        <f>IF('9. List &amp; Calc'!$B229="", "", _xlfn.XLOOKUP('9. List &amp; Calc'!$B229, '9. List &amp; Calc'!$D$92:$D$121, '9. List &amp; Calc'!$H$92:$H$121,,0))</f>
        <v>1</v>
      </c>
      <c r="AB186" s="460"/>
    </row>
    <row r="187" spans="2:39" x14ac:dyDescent="0.2">
      <c r="B187" s="457">
        <v>4</v>
      </c>
      <c r="C187" s="457"/>
      <c r="D187" s="447" t="str">
        <f>IF('9. List &amp; Calc'!$B230="", "", _xlfn.XLOOKUP('9. List &amp; Calc'!$B230, '9. List &amp; Calc'!$D$92:$D$121, '9. List &amp; Calc'!$B$92:$B$121,,0))</f>
        <v>Deploy</v>
      </c>
      <c r="E187" s="447"/>
      <c r="F187" s="447"/>
      <c r="G187" s="457" t="str">
        <f>IF('9. List &amp; Calc'!$B230="", "", _xlfn.XLOOKUP('9. List &amp; Calc'!$B230, '9. List &amp; Calc'!$D$92:$D$121, '9. List &amp; Calc'!$C$92:$C$121,,0))</f>
        <v>OM.01</v>
      </c>
      <c r="H187" s="457"/>
      <c r="I187" s="357" t="str">
        <f>IF('9. List &amp; Calc'!B230="", "", '9. List &amp; Calc'!B230)</f>
        <v>Security Monitoring &amp; Threat Detection</v>
      </c>
      <c r="J187" s="357"/>
      <c r="K187" s="357"/>
      <c r="L187" s="357"/>
      <c r="M187" s="357"/>
      <c r="N187" s="357"/>
      <c r="O187" s="357"/>
      <c r="P187" s="357"/>
      <c r="Q187" s="457">
        <f>IF('9. List &amp; Calc'!$B230="", "", _xlfn.XLOOKUP('9. List &amp; Calc'!$B230, '9. List &amp; Calc'!$D$92:$D$121, '9. List &amp; Calc'!$E$92:$E$121,,0))</f>
        <v>1</v>
      </c>
      <c r="R187" s="457"/>
      <c r="S187" s="457"/>
      <c r="T187" s="457"/>
      <c r="U187" s="457"/>
      <c r="V187" s="457">
        <f>IF('9. List &amp; Calc'!$B230="", "", _xlfn.XLOOKUP('9. List &amp; Calc'!$B230, '9. List &amp; Calc'!$D$92:$D$121, '9. List &amp; Calc'!$F$92:$F$121,,0))</f>
        <v>3</v>
      </c>
      <c r="W187" s="457"/>
      <c r="X187" s="457"/>
      <c r="Y187" s="457"/>
      <c r="Z187" s="457"/>
      <c r="AA187" s="457">
        <f>IF('9. List &amp; Calc'!$B230="", "", _xlfn.XLOOKUP('9. List &amp; Calc'!$B230, '9. List &amp; Calc'!$D$92:$D$121, '9. List &amp; Calc'!$H$92:$H$121,,0))</f>
        <v>1</v>
      </c>
      <c r="AB187" s="457"/>
    </row>
    <row r="188" spans="2:39" x14ac:dyDescent="0.2">
      <c r="B188" s="460">
        <v>5</v>
      </c>
      <c r="C188" s="460"/>
      <c r="D188" s="446" t="str">
        <f>IF('9. List &amp; Calc'!$B231="", "", _xlfn.XLOOKUP('9. List &amp; Calc'!$B231, '9. List &amp; Calc'!$D$92:$D$121, '9. List &amp; Calc'!$B$92:$B$121,,0))</f>
        <v>Build</v>
      </c>
      <c r="E188" s="446"/>
      <c r="F188" s="446"/>
      <c r="G188" s="460" t="str">
        <f>IF('9. List &amp; Calc'!$B231="", "", _xlfn.XLOOKUP('9. List &amp; Calc'!$B231, '9. List &amp; Calc'!$D$92:$D$121, '9. List &amp; Calc'!$C$92:$C$121,,0))</f>
        <v>BU.02</v>
      </c>
      <c r="H188" s="460"/>
      <c r="I188" s="356" t="str">
        <f>IF('9. List &amp; Calc'!B231="", "", '9. List &amp; Calc'!B231)</f>
        <v>Secure Code Review &amp; Static Analysis</v>
      </c>
      <c r="J188" s="356"/>
      <c r="K188" s="356"/>
      <c r="L188" s="356"/>
      <c r="M188" s="356"/>
      <c r="N188" s="356"/>
      <c r="O188" s="356"/>
      <c r="P188" s="356"/>
      <c r="Q188" s="460">
        <f>IF('9. List &amp; Calc'!$B231="", "", _xlfn.XLOOKUP('9. List &amp; Calc'!$B231, '9. List &amp; Calc'!$D$92:$D$121, '9. List &amp; Calc'!$E$92:$E$121,,0))</f>
        <v>1</v>
      </c>
      <c r="R188" s="460"/>
      <c r="S188" s="460"/>
      <c r="T188" s="460"/>
      <c r="U188" s="460"/>
      <c r="V188" s="460">
        <f>IF('9. List &amp; Calc'!$B231="", "", _xlfn.XLOOKUP('9. List &amp; Calc'!$B231, '9. List &amp; Calc'!$D$92:$D$121, '9. List &amp; Calc'!$F$92:$F$121,,0))</f>
        <v>1</v>
      </c>
      <c r="W188" s="460"/>
      <c r="X188" s="460"/>
      <c r="Y188" s="460"/>
      <c r="Z188" s="460"/>
      <c r="AA188" s="460">
        <f>IF('9. List &amp; Calc'!$B231="", "", _xlfn.XLOOKUP('9. List &amp; Calc'!$B231, '9. List &amp; Calc'!$D$92:$D$121, '9. List &amp; Calc'!$H$92:$H$121,,0))</f>
        <v>2</v>
      </c>
      <c r="AB188" s="460"/>
    </row>
    <row r="189" spans="2:39" x14ac:dyDescent="0.2">
      <c r="B189" s="457">
        <v>6</v>
      </c>
      <c r="C189" s="457"/>
      <c r="D189" s="447" t="str">
        <f>IF('9. List &amp; Calc'!$B232="", "", _xlfn.XLOOKUP('9. List &amp; Calc'!$B232, '9. List &amp; Calc'!$D$92:$D$121, '9. List &amp; Calc'!$B$92:$B$121,,0))</f>
        <v>Build</v>
      </c>
      <c r="E189" s="447"/>
      <c r="F189" s="447"/>
      <c r="G189" s="457" t="str">
        <f>IF('9. List &amp; Calc'!$B232="", "", _xlfn.XLOOKUP('9. List &amp; Calc'!$B232, '9. List &amp; Calc'!$D$92:$D$121, '9. List &amp; Calc'!$C$92:$C$121,,0))</f>
        <v>BU.04</v>
      </c>
      <c r="H189" s="457"/>
      <c r="I189" s="357" t="str">
        <f>IF('9. List &amp; Calc'!B232="", "", '9. List &amp; Calc'!B232)</f>
        <v>Secure Build &amp; CI/CD Pipeline</v>
      </c>
      <c r="J189" s="357"/>
      <c r="K189" s="357"/>
      <c r="L189" s="357"/>
      <c r="M189" s="357"/>
      <c r="N189" s="357"/>
      <c r="O189" s="357"/>
      <c r="P189" s="357"/>
      <c r="Q189" s="457">
        <f>IF('9. List &amp; Calc'!$B232="", "", _xlfn.XLOOKUP('9. List &amp; Calc'!$B232, '9. List &amp; Calc'!$D$92:$D$121, '9. List &amp; Calc'!$E$92:$E$121,,0))</f>
        <v>2</v>
      </c>
      <c r="R189" s="457"/>
      <c r="S189" s="457"/>
      <c r="T189" s="457"/>
      <c r="U189" s="457"/>
      <c r="V189" s="457">
        <f>IF('9. List &amp; Calc'!$B232="", "", _xlfn.XLOOKUP('9. List &amp; Calc'!$B232, '9. List &amp; Calc'!$D$92:$D$121, '9. List &amp; Calc'!$F$92:$F$121,,0))</f>
        <v>1</v>
      </c>
      <c r="W189" s="457"/>
      <c r="X189" s="457"/>
      <c r="Y189" s="457"/>
      <c r="Z189" s="457"/>
      <c r="AA189" s="457">
        <f>IF('9. List &amp; Calc'!$B232="", "", _xlfn.XLOOKUP('9. List &amp; Calc'!$B232, '9. List &amp; Calc'!$D$92:$D$121, '9. List &amp; Calc'!$H$92:$H$121,,0))</f>
        <v>1</v>
      </c>
      <c r="AB189" s="457"/>
    </row>
    <row r="190" spans="2:39" x14ac:dyDescent="0.2">
      <c r="B190" s="460">
        <v>7</v>
      </c>
      <c r="C190" s="460"/>
      <c r="D190" s="446" t="str">
        <f>IF('9. List &amp; Calc'!$B233="", "", _xlfn.XLOOKUP('9. List &amp; Calc'!$B233, '9. List &amp; Calc'!$D$92:$D$121, '9. List &amp; Calc'!$B$92:$B$121,,0))</f>
        <v>Deploy</v>
      </c>
      <c r="E190" s="446"/>
      <c r="F190" s="446"/>
      <c r="G190" s="460" t="str">
        <f>IF('9. List &amp; Calc'!$B233="", "", _xlfn.XLOOKUP('9. List &amp; Calc'!$B233, '9. List &amp; Calc'!$D$92:$D$121, '9. List &amp; Calc'!$C$92:$C$121,,0))</f>
        <v>DE.03</v>
      </c>
      <c r="H190" s="460"/>
      <c r="I190" s="356" t="str">
        <f>IF('9. List &amp; Calc'!B233="", "", '9. List &amp; Calc'!B233)</f>
        <v>Policy‑as‑Code (PaC) Deployment</v>
      </c>
      <c r="J190" s="356"/>
      <c r="K190" s="356"/>
      <c r="L190" s="356"/>
      <c r="M190" s="356"/>
      <c r="N190" s="356"/>
      <c r="O190" s="356"/>
      <c r="P190" s="356"/>
      <c r="Q190" s="460">
        <f>IF('9. List &amp; Calc'!$B233="", "", _xlfn.XLOOKUP('9. List &amp; Calc'!$B233, '9. List &amp; Calc'!$D$92:$D$121, '9. List &amp; Calc'!$E$92:$E$121,,0))</f>
        <v>1</v>
      </c>
      <c r="R190" s="460"/>
      <c r="S190" s="460"/>
      <c r="T190" s="460"/>
      <c r="U190" s="460"/>
      <c r="V190" s="460">
        <f>IF('9. List &amp; Calc'!$B233="", "", _xlfn.XLOOKUP('9. List &amp; Calc'!$B233, '9. List &amp; Calc'!$D$92:$D$121, '9. List &amp; Calc'!$F$92:$F$121,,0))</f>
        <v>1</v>
      </c>
      <c r="W190" s="460"/>
      <c r="X190" s="460"/>
      <c r="Y190" s="460"/>
      <c r="Z190" s="460"/>
      <c r="AA190" s="460">
        <f>IF('9. List &amp; Calc'!$B233="", "", _xlfn.XLOOKUP('9. List &amp; Calc'!$B233, '9. List &amp; Calc'!$D$92:$D$121, '9. List &amp; Calc'!$H$92:$H$121,,0))</f>
        <v>2</v>
      </c>
      <c r="AB190" s="460"/>
    </row>
    <row r="191" spans="2:39" x14ac:dyDescent="0.2">
      <c r="B191" s="457">
        <v>8</v>
      </c>
      <c r="C191" s="457"/>
      <c r="D191" s="447" t="str">
        <f>IF('9. List &amp; Calc'!$B234="", "", _xlfn.XLOOKUP('9. List &amp; Calc'!$B234, '9. List &amp; Calc'!$D$92:$D$121, '9. List &amp; Calc'!$B$92:$B$121,,0))</f>
        <v>Maintenance &amp; Operations</v>
      </c>
      <c r="E191" s="447"/>
      <c r="F191" s="447"/>
      <c r="G191" s="457" t="str">
        <f>IF('9. List &amp; Calc'!$B234="", "", _xlfn.XLOOKUP('9. List &amp; Calc'!$B234, '9. List &amp; Calc'!$D$92:$D$121, '9. List &amp; Calc'!$C$92:$C$121,,0))</f>
        <v>OM.03</v>
      </c>
      <c r="H191" s="457"/>
      <c r="I191" s="357" t="str">
        <f>IF('9. List &amp; Calc'!B234="", "", '9. List &amp; Calc'!B234)</f>
        <v>Vulnerability Management &amp; Patching</v>
      </c>
      <c r="J191" s="357"/>
      <c r="K191" s="357"/>
      <c r="L191" s="357"/>
      <c r="M191" s="357"/>
      <c r="N191" s="357"/>
      <c r="O191" s="357"/>
      <c r="P191" s="357"/>
      <c r="Q191" s="457">
        <f>IF('9. List &amp; Calc'!$B234="", "", _xlfn.XLOOKUP('9. List &amp; Calc'!$B234, '9. List &amp; Calc'!$D$92:$D$121, '9. List &amp; Calc'!$E$92:$E$121,,0))</f>
        <v>2</v>
      </c>
      <c r="R191" s="457"/>
      <c r="S191" s="457"/>
      <c r="T191" s="457"/>
      <c r="U191" s="457"/>
      <c r="V191" s="457">
        <f>IF('9. List &amp; Calc'!$B234="", "", _xlfn.XLOOKUP('9. List &amp; Calc'!$B234, '9. List &amp; Calc'!$D$92:$D$121, '9. List &amp; Calc'!$F$92:$F$121,,0))</f>
        <v>0</v>
      </c>
      <c r="W191" s="457"/>
      <c r="X191" s="457"/>
      <c r="Y191" s="457"/>
      <c r="Z191" s="457"/>
      <c r="AA191" s="457">
        <f>IF('9. List &amp; Calc'!$B234="", "", _xlfn.XLOOKUP('9. List &amp; Calc'!$B234, '9. List &amp; Calc'!$D$92:$D$121, '9. List &amp; Calc'!$H$92:$H$121,,0))</f>
        <v>2</v>
      </c>
      <c r="AB191" s="457"/>
    </row>
    <row r="192" spans="2:39" x14ac:dyDescent="0.2">
      <c r="B192" s="460">
        <v>9</v>
      </c>
      <c r="C192" s="460"/>
      <c r="D192" s="446" t="str">
        <f>IF('9. List &amp; Calc'!$B235="", "", _xlfn.XLOOKUP('9. List &amp; Calc'!$B235, '9. List &amp; Calc'!$D$92:$D$121, '9. List &amp; Calc'!$B$92:$B$121,,0))</f>
        <v>Maintenance &amp; Operations</v>
      </c>
      <c r="E192" s="446"/>
      <c r="F192" s="446"/>
      <c r="G192" s="460" t="str">
        <f>IF('9. List &amp; Calc'!$B235="", "", _xlfn.XLOOKUP('9. List &amp; Calc'!$B235, '9. List &amp; Calc'!$D$92:$D$121, '9. List &amp; Calc'!$C$92:$C$121,,0))</f>
        <v>OM.02</v>
      </c>
      <c r="H192" s="460"/>
      <c r="I192" s="356" t="str">
        <f>IF('9. List &amp; Calc'!B235="", "", '9. List &amp; Calc'!B235)</f>
        <v>Incident Response &amp; Recovery</v>
      </c>
      <c r="J192" s="356"/>
      <c r="K192" s="356"/>
      <c r="L192" s="356"/>
      <c r="M192" s="356"/>
      <c r="N192" s="356"/>
      <c r="O192" s="356"/>
      <c r="P192" s="356"/>
      <c r="Q192" s="460">
        <f>IF('9. List &amp; Calc'!$B235="", "", _xlfn.XLOOKUP('9. List &amp; Calc'!$B235, '9. List &amp; Calc'!$D$92:$D$121, '9. List &amp; Calc'!$E$92:$E$121,,0))</f>
        <v>1</v>
      </c>
      <c r="R192" s="460"/>
      <c r="S192" s="460"/>
      <c r="T192" s="460"/>
      <c r="U192" s="460"/>
      <c r="V192" s="460">
        <f>IF('9. List &amp; Calc'!$B235="", "", _xlfn.XLOOKUP('9. List &amp; Calc'!$B235, '9. List &amp; Calc'!$D$92:$D$121, '9. List &amp; Calc'!$F$92:$F$121,,0))</f>
        <v>2</v>
      </c>
      <c r="W192" s="460"/>
      <c r="X192" s="460"/>
      <c r="Y192" s="460"/>
      <c r="Z192" s="460"/>
      <c r="AA192" s="460">
        <f>IF('9. List &amp; Calc'!$B235="", "", _xlfn.XLOOKUP('9. List &amp; Calc'!$B235, '9. List &amp; Calc'!$D$92:$D$121, '9. List &amp; Calc'!$H$92:$H$121,,0))</f>
        <v>1</v>
      </c>
      <c r="AB192" s="460"/>
    </row>
    <row r="193" spans="2:39" x14ac:dyDescent="0.2">
      <c r="B193" s="457">
        <v>10</v>
      </c>
      <c r="C193" s="457"/>
      <c r="D193" s="447" t="str">
        <f>IF('9. List &amp; Calc'!$B236="", "", _xlfn.XLOOKUP('9. List &amp; Calc'!$B236, '9. List &amp; Calc'!$D$92:$D$121, '9. List &amp; Calc'!$B$92:$B$121,,0))</f>
        <v>Test</v>
      </c>
      <c r="E193" s="447"/>
      <c r="F193" s="447"/>
      <c r="G193" s="457" t="str">
        <f>IF('9. List &amp; Calc'!$B236="", "", _xlfn.XLOOKUP('9. List &amp; Calc'!$B236, '9. List &amp; Calc'!$D$92:$D$121, '9. List &amp; Calc'!$C$92:$C$121,,0))</f>
        <v>TE.05</v>
      </c>
      <c r="H193" s="457"/>
      <c r="I193" s="357" t="str">
        <f>IF('9. List &amp; Calc'!B236="", "", '9. List &amp; Calc'!B236)</f>
        <v>Secure Test Environments &amp; Data Management</v>
      </c>
      <c r="J193" s="357"/>
      <c r="K193" s="357"/>
      <c r="L193" s="357"/>
      <c r="M193" s="357"/>
      <c r="N193" s="357"/>
      <c r="O193" s="357"/>
      <c r="P193" s="357"/>
      <c r="Q193" s="457">
        <f>IF('9. List &amp; Calc'!$B236="", "", _xlfn.XLOOKUP('9. List &amp; Calc'!$B236, '9. List &amp; Calc'!$D$92:$D$121, '9. List &amp; Calc'!$E$92:$E$121,,0))</f>
        <v>1</v>
      </c>
      <c r="R193" s="457"/>
      <c r="S193" s="457"/>
      <c r="T193" s="457"/>
      <c r="U193" s="457"/>
      <c r="V193" s="457">
        <f>IF('9. List &amp; Calc'!$B236="", "", _xlfn.XLOOKUP('9. List &amp; Calc'!$B236, '9. List &amp; Calc'!$D$92:$D$121, '9. List &amp; Calc'!$F$92:$F$121,,0))</f>
        <v>2</v>
      </c>
      <c r="W193" s="457"/>
      <c r="X193" s="457"/>
      <c r="Y193" s="457"/>
      <c r="Z193" s="457"/>
      <c r="AA193" s="457">
        <f>IF('9. List &amp; Calc'!$B236="", "", _xlfn.XLOOKUP('9. List &amp; Calc'!$B236, '9. List &amp; Calc'!$D$92:$D$121, '9. List &amp; Calc'!$H$92:$H$121,,0))</f>
        <v>1</v>
      </c>
      <c r="AB193" s="457"/>
    </row>
    <row r="197" spans="2:39" ht="21.75" customHeight="1" x14ac:dyDescent="0.2">
      <c r="B197" s="456" t="s">
        <v>496</v>
      </c>
      <c r="C197" s="456"/>
      <c r="D197" s="456"/>
      <c r="E197" s="456"/>
      <c r="F197" s="456"/>
      <c r="G197" s="456"/>
      <c r="H197" s="456"/>
      <c r="I197" s="456"/>
      <c r="J197" s="456"/>
      <c r="K197" s="456"/>
      <c r="L197" s="456"/>
      <c r="M197" s="456"/>
      <c r="N197" s="456"/>
      <c r="O197" s="456"/>
      <c r="P197" s="456"/>
      <c r="Q197" s="456"/>
      <c r="R197" s="456"/>
      <c r="S197" s="456"/>
      <c r="T197" s="456"/>
      <c r="U197" s="456"/>
      <c r="V197" s="456"/>
      <c r="W197" s="456"/>
      <c r="X197" s="456"/>
      <c r="Y197" s="456"/>
      <c r="Z197" s="456"/>
      <c r="AA197" s="456"/>
      <c r="AB197" s="456"/>
      <c r="AC197" s="456"/>
      <c r="AD197" s="456"/>
      <c r="AE197" s="456"/>
      <c r="AF197" s="456"/>
      <c r="AG197" s="456"/>
      <c r="AH197" s="456"/>
      <c r="AI197" s="456"/>
      <c r="AJ197" s="456"/>
      <c r="AK197" s="456"/>
      <c r="AL197" s="456"/>
      <c r="AM197" s="456"/>
    </row>
    <row r="199" spans="2:39" ht="15" x14ac:dyDescent="0.25">
      <c r="L199" s="365"/>
    </row>
    <row r="200" spans="2:39" ht="31.5" customHeight="1" x14ac:dyDescent="0.2">
      <c r="N200" s="459" t="s">
        <v>497</v>
      </c>
      <c r="O200" s="453"/>
      <c r="P200" s="453"/>
      <c r="Q200" s="453"/>
      <c r="R200" s="453"/>
      <c r="S200" s="453"/>
      <c r="T200" s="453"/>
      <c r="U200" s="453"/>
      <c r="V200" s="453"/>
      <c r="W200" s="453" t="s">
        <v>46</v>
      </c>
      <c r="X200" s="453"/>
      <c r="Y200" s="453"/>
      <c r="Z200" s="453"/>
      <c r="AA200" s="453"/>
      <c r="AB200" s="453"/>
      <c r="AC200" s="453"/>
      <c r="AD200" s="453"/>
      <c r="AE200" s="454"/>
      <c r="AF200" s="15"/>
    </row>
    <row r="201" spans="2:39" ht="57" customHeight="1" x14ac:dyDescent="0.2">
      <c r="B201" s="366" t="s">
        <v>415</v>
      </c>
      <c r="C201" s="448" t="s">
        <v>416</v>
      </c>
      <c r="D201" s="449"/>
      <c r="E201" s="449"/>
      <c r="F201" s="449"/>
      <c r="G201" s="449"/>
      <c r="H201" s="449"/>
      <c r="I201" s="449"/>
      <c r="J201" s="449"/>
      <c r="K201" s="449"/>
      <c r="L201" s="449"/>
      <c r="M201" s="450"/>
      <c r="N201" s="455" t="str">
        <f>IF('3. Goals'!$C$9="", "", '3. Goals'!$C$9)</f>
        <v>Faster time to value for new products.</v>
      </c>
      <c r="O201" s="455"/>
      <c r="P201" s="455"/>
      <c r="Q201" s="455" t="str">
        <f>IF('3. Goals'!$C$10="", "", '3. Goals'!$C$10)</f>
        <v>Reduce cyber‑insurance premiums and borrowing costs.</v>
      </c>
      <c r="R201" s="455"/>
      <c r="S201" s="455"/>
      <c r="T201" s="455" t="str">
        <f>IF('3. Goals'!$C$11="", "", '3. Goals'!$C$11)</f>
        <v>Complete technology M&amp;A integrations faster.</v>
      </c>
      <c r="U201" s="455"/>
      <c r="V201" s="455"/>
      <c r="W201" s="455" t="str">
        <f>IF('3. Goals'!$C$20="", "", '3. Goals'!$C$20)</f>
        <v>Business‑logic abuse through exposed APIs.</v>
      </c>
      <c r="X201" s="455"/>
      <c r="Y201" s="455"/>
      <c r="Z201" s="455" t="str">
        <f>IF('3. Goals'!$C$21="", "", '3. Goals'!$C$21)</f>
        <v>Ransomware beachhead via vulnerable web apps.</v>
      </c>
      <c r="AA201" s="455"/>
      <c r="AB201" s="455"/>
      <c r="AC201" s="455" t="str">
        <f>IF('3. Goals'!$C$22="", "", '3. Goals'!$C$22)</f>
        <v>Insider misuse or privileged‑user abuse of critical functions.</v>
      </c>
      <c r="AD201" s="455"/>
      <c r="AE201" s="458"/>
      <c r="AF201" s="358"/>
    </row>
    <row r="202" spans="2:39" ht="20.100000000000001" customHeight="1" x14ac:dyDescent="0.25">
      <c r="B202" s="360">
        <f>IF('5. Initiative List'!$C$6="", "", '5. Initiative List'!$B$6)</f>
        <v>1</v>
      </c>
      <c r="C202" s="446" t="str">
        <f>IF('5. Initiative List'!C6="", "", '5. Initiative List'!C6)</f>
        <v>Implement Secure SDLC Requirements Gathering Templates</v>
      </c>
      <c r="D202" s="446"/>
      <c r="E202" s="446"/>
      <c r="F202" s="446"/>
      <c r="G202" s="446"/>
      <c r="H202" s="446"/>
      <c r="I202" s="446"/>
      <c r="J202" s="446"/>
      <c r="K202" s="446"/>
      <c r="L202" s="446"/>
      <c r="M202" s="446"/>
      <c r="N202" s="451" t="str">
        <f>IF('9. List &amp; Calc'!H227="", "", "✓")</f>
        <v>✓</v>
      </c>
      <c r="O202" s="451"/>
      <c r="P202" s="451"/>
      <c r="Q202" s="451" t="str">
        <f>IF('9. List &amp; Calc'!I227="", "", "✓")</f>
        <v/>
      </c>
      <c r="R202" s="451"/>
      <c r="S202" s="451"/>
      <c r="T202" s="451" t="str">
        <f>IF('9. List &amp; Calc'!J227="", "", "✓")</f>
        <v>✓</v>
      </c>
      <c r="U202" s="451"/>
      <c r="V202" s="451"/>
      <c r="W202" s="451" t="str">
        <f>IF('9. List &amp; Calc'!K227="", "", "✓")</f>
        <v/>
      </c>
      <c r="X202" s="451"/>
      <c r="Y202" s="451"/>
      <c r="Z202" s="451" t="str">
        <f>IF('9. List &amp; Calc'!L227="", "", "✓")</f>
        <v/>
      </c>
      <c r="AA202" s="451"/>
      <c r="AB202" s="451"/>
      <c r="AC202" s="451" t="str">
        <f>IF('9. List &amp; Calc'!M227="", "", "✓")</f>
        <v/>
      </c>
      <c r="AD202" s="451"/>
      <c r="AE202" s="451"/>
    </row>
    <row r="203" spans="2:39" ht="20.100000000000001" customHeight="1" x14ac:dyDescent="0.25">
      <c r="B203" s="359">
        <f>IF('5. Initiative List'!C7="", "", '5. Initiative List'!B7)</f>
        <v>2</v>
      </c>
      <c r="C203" s="447" t="str">
        <f>IF('5. Initiative List'!C7="", "", '5. Initiative List'!C7)</f>
        <v>Deploy Threat Modeling Automation Tools (e.g. ThreatSpec, IriusRisk)</v>
      </c>
      <c r="D203" s="447"/>
      <c r="E203" s="447"/>
      <c r="F203" s="447"/>
      <c r="G203" s="447"/>
      <c r="H203" s="447"/>
      <c r="I203" s="447"/>
      <c r="J203" s="447"/>
      <c r="K203" s="447"/>
      <c r="L203" s="447"/>
      <c r="M203" s="447"/>
      <c r="N203" s="452" t="str">
        <f>IF('9. List &amp; Calc'!H228="", "", "✓")</f>
        <v/>
      </c>
      <c r="O203" s="452"/>
      <c r="P203" s="452"/>
      <c r="Q203" s="452" t="str">
        <f>IF('9. List &amp; Calc'!I228="", "", "✓")</f>
        <v/>
      </c>
      <c r="R203" s="452"/>
      <c r="S203" s="452"/>
      <c r="T203" s="452" t="str">
        <f>IF('9. List &amp; Calc'!J228="", "", "✓")</f>
        <v/>
      </c>
      <c r="U203" s="452"/>
      <c r="V203" s="452"/>
      <c r="W203" s="452" t="str">
        <f>IF('9. List &amp; Calc'!K228="", "", "✓")</f>
        <v/>
      </c>
      <c r="X203" s="452"/>
      <c r="Y203" s="452"/>
      <c r="Z203" s="452" t="str">
        <f>IF('9. List &amp; Calc'!L228="", "", "✓")</f>
        <v/>
      </c>
      <c r="AA203" s="452"/>
      <c r="AB203" s="452"/>
      <c r="AC203" s="452" t="str">
        <f>IF('9. List &amp; Calc'!M228="", "", "✓")</f>
        <v/>
      </c>
      <c r="AD203" s="452"/>
      <c r="AE203" s="452"/>
    </row>
    <row r="204" spans="2:39" ht="20.100000000000001" customHeight="1" x14ac:dyDescent="0.25">
      <c r="B204" s="360">
        <f>IF('5. Initiative List'!C8="", "", '5. Initiative List'!B8)</f>
        <v>3</v>
      </c>
      <c r="C204" s="446" t="str">
        <f>IF('5. Initiative List'!C8="", "", '5. Initiative List'!C8)</f>
        <v>Establish Secure Architecture Review Board</v>
      </c>
      <c r="D204" s="446"/>
      <c r="E204" s="446"/>
      <c r="F204" s="446"/>
      <c r="G204" s="446"/>
      <c r="H204" s="446"/>
      <c r="I204" s="446"/>
      <c r="J204" s="446"/>
      <c r="K204" s="446"/>
      <c r="L204" s="446"/>
      <c r="M204" s="446"/>
      <c r="N204" s="451" t="str">
        <f>IF('9. List &amp; Calc'!H229="", "", "✓")</f>
        <v>✓</v>
      </c>
      <c r="O204" s="451"/>
      <c r="P204" s="451"/>
      <c r="Q204" s="451" t="str">
        <f>IF('9. List &amp; Calc'!I229="", "", "✓")</f>
        <v/>
      </c>
      <c r="R204" s="451"/>
      <c r="S204" s="451"/>
      <c r="T204" s="451" t="str">
        <f>IF('9. List &amp; Calc'!J229="", "", "✓")</f>
        <v>✓</v>
      </c>
      <c r="U204" s="451"/>
      <c r="V204" s="451"/>
      <c r="W204" s="451" t="str">
        <f>IF('9. List &amp; Calc'!K229="", "", "✓")</f>
        <v/>
      </c>
      <c r="X204" s="451"/>
      <c r="Y204" s="451"/>
      <c r="Z204" s="451" t="str">
        <f>IF('9. List &amp; Calc'!L229="", "", "✓")</f>
        <v>✓</v>
      </c>
      <c r="AA204" s="451"/>
      <c r="AB204" s="451"/>
      <c r="AC204" s="451" t="str">
        <f>IF('9. List &amp; Calc'!M229="", "", "✓")</f>
        <v/>
      </c>
      <c r="AD204" s="451"/>
      <c r="AE204" s="451"/>
    </row>
    <row r="205" spans="2:39" ht="20.100000000000001" customHeight="1" x14ac:dyDescent="0.25">
      <c r="B205" s="359">
        <f>IF('5. Initiative List'!C9="", "", '5. Initiative List'!B9)</f>
        <v>4</v>
      </c>
      <c r="C205" s="447" t="str">
        <f>IF('5. Initiative List'!C9="", "", '5. Initiative List'!C9)</f>
        <v>Implement Secure AI/ML Design Controls &amp; Data Lineage Tracking</v>
      </c>
      <c r="D205" s="447"/>
      <c r="E205" s="447"/>
      <c r="F205" s="447"/>
      <c r="G205" s="447"/>
      <c r="H205" s="447"/>
      <c r="I205" s="447"/>
      <c r="J205" s="447"/>
      <c r="K205" s="447"/>
      <c r="L205" s="447"/>
      <c r="M205" s="447"/>
      <c r="N205" s="452" t="str">
        <f>IF('9. List &amp; Calc'!H230="", "", "✓")</f>
        <v/>
      </c>
      <c r="O205" s="452"/>
      <c r="P205" s="452"/>
      <c r="Q205" s="452" t="str">
        <f>IF('9. List &amp; Calc'!I230="", "", "✓")</f>
        <v/>
      </c>
      <c r="R205" s="452"/>
      <c r="S205" s="452"/>
      <c r="T205" s="452" t="str">
        <f>IF('9. List &amp; Calc'!J230="", "", "✓")</f>
        <v/>
      </c>
      <c r="U205" s="452"/>
      <c r="V205" s="452"/>
      <c r="W205" s="452" t="str">
        <f>IF('9. List &amp; Calc'!K230="", "", "✓")</f>
        <v/>
      </c>
      <c r="X205" s="452"/>
      <c r="Y205" s="452"/>
      <c r="Z205" s="452" t="str">
        <f>IF('9. List &amp; Calc'!L230="", "", "✓")</f>
        <v/>
      </c>
      <c r="AA205" s="452"/>
      <c r="AB205" s="452"/>
      <c r="AC205" s="452" t="str">
        <f>IF('9. List &amp; Calc'!M230="", "", "✓")</f>
        <v/>
      </c>
      <c r="AD205" s="452"/>
      <c r="AE205" s="452"/>
    </row>
    <row r="206" spans="2:39" ht="20.100000000000001" customHeight="1" x14ac:dyDescent="0.25">
      <c r="B206" s="360">
        <f>IF('5. Initiative List'!C10="", "", '5. Initiative List'!B10)</f>
        <v>5</v>
      </c>
      <c r="C206" s="446" t="str">
        <f>IF('5. Initiative List'!C10="", "", '5. Initiative List'!C10)</f>
        <v>Train Developers on Secure Coding Practices (OWASP Top 10)</v>
      </c>
      <c r="D206" s="446"/>
      <c r="E206" s="446"/>
      <c r="F206" s="446"/>
      <c r="G206" s="446"/>
      <c r="H206" s="446"/>
      <c r="I206" s="446"/>
      <c r="J206" s="446"/>
      <c r="K206" s="446"/>
      <c r="L206" s="446"/>
      <c r="M206" s="446"/>
      <c r="N206" s="451" t="str">
        <f>IF('9. List &amp; Calc'!H231="", "", "✓")</f>
        <v/>
      </c>
      <c r="O206" s="451"/>
      <c r="P206" s="451"/>
      <c r="Q206" s="451" t="str">
        <f>IF('9. List &amp; Calc'!I231="", "", "✓")</f>
        <v>✓</v>
      </c>
      <c r="R206" s="451"/>
      <c r="S206" s="451"/>
      <c r="T206" s="451" t="str">
        <f>IF('9. List &amp; Calc'!J231="", "", "✓")</f>
        <v/>
      </c>
      <c r="U206" s="451"/>
      <c r="V206" s="451"/>
      <c r="W206" s="451" t="str">
        <f>IF('9. List &amp; Calc'!K231="", "", "✓")</f>
        <v/>
      </c>
      <c r="X206" s="451"/>
      <c r="Y206" s="451"/>
      <c r="Z206" s="451" t="str">
        <f>IF('9. List &amp; Calc'!L231="", "", "✓")</f>
        <v/>
      </c>
      <c r="AA206" s="451"/>
      <c r="AB206" s="451"/>
      <c r="AC206" s="451" t="str">
        <f>IF('9. List &amp; Calc'!M231="", "", "✓")</f>
        <v/>
      </c>
      <c r="AD206" s="451"/>
      <c r="AE206" s="451"/>
    </row>
    <row r="207" spans="2:39" ht="20.100000000000001" customHeight="1" x14ac:dyDescent="0.25">
      <c r="B207" s="359">
        <f>IF('5. Initiative List'!C11="", "", '5. Initiative List'!B11)</f>
        <v>6</v>
      </c>
      <c r="C207" s="447" t="str">
        <f>IF('5. Initiative List'!C11="", "", '5. Initiative List'!C11)</f>
        <v>Integrate SAST Tools Into CI Pipeline</v>
      </c>
      <c r="D207" s="447"/>
      <c r="E207" s="447"/>
      <c r="F207" s="447"/>
      <c r="G207" s="447"/>
      <c r="H207" s="447"/>
      <c r="I207" s="447"/>
      <c r="J207" s="447"/>
      <c r="K207" s="447"/>
      <c r="L207" s="447"/>
      <c r="M207" s="447"/>
      <c r="N207" s="452" t="str">
        <f>IF('9. List &amp; Calc'!H232="", "", "✓")</f>
        <v>✓</v>
      </c>
      <c r="O207" s="452"/>
      <c r="P207" s="452"/>
      <c r="Q207" s="452" t="str">
        <f>IF('9. List &amp; Calc'!I232="", "", "✓")</f>
        <v>✓</v>
      </c>
      <c r="R207" s="452"/>
      <c r="S207" s="452"/>
      <c r="T207" s="452" t="str">
        <f>IF('9. List &amp; Calc'!J232="", "", "✓")</f>
        <v/>
      </c>
      <c r="U207" s="452"/>
      <c r="V207" s="452"/>
      <c r="W207" s="452" t="str">
        <f>IF('9. List &amp; Calc'!K232="", "", "✓")</f>
        <v>✓</v>
      </c>
      <c r="X207" s="452"/>
      <c r="Y207" s="452"/>
      <c r="Z207" s="452" t="str">
        <f>IF('9. List &amp; Calc'!L232="", "", "✓")</f>
        <v/>
      </c>
      <c r="AA207" s="452"/>
      <c r="AB207" s="452"/>
      <c r="AC207" s="452" t="str">
        <f>IF('9. List &amp; Calc'!M232="", "", "✓")</f>
        <v>✓</v>
      </c>
      <c r="AD207" s="452"/>
      <c r="AE207" s="452"/>
    </row>
    <row r="208" spans="2:39" ht="20.100000000000001" customHeight="1" x14ac:dyDescent="0.25">
      <c r="B208" s="360">
        <f>IF('5. Initiative List'!C12="", "", '5. Initiative List'!B12)</f>
        <v>7</v>
      </c>
      <c r="C208" s="446" t="str">
        <f>IF('5. Initiative List'!C12="", "", '5. Initiative List'!C12)</f>
        <v>Automate Software Composition Analysis &amp; Supply Chain Scanning</v>
      </c>
      <c r="D208" s="446"/>
      <c r="E208" s="446"/>
      <c r="F208" s="446"/>
      <c r="G208" s="446"/>
      <c r="H208" s="446"/>
      <c r="I208" s="446"/>
      <c r="J208" s="446"/>
      <c r="K208" s="446"/>
      <c r="L208" s="446"/>
      <c r="M208" s="446"/>
      <c r="N208" s="451" t="str">
        <f>IF('9. List &amp; Calc'!H233="", "", "✓")</f>
        <v/>
      </c>
      <c r="O208" s="451"/>
      <c r="P208" s="451"/>
      <c r="Q208" s="451" t="str">
        <f>IF('9. List &amp; Calc'!I233="", "", "✓")</f>
        <v/>
      </c>
      <c r="R208" s="451"/>
      <c r="S208" s="451"/>
      <c r="T208" s="451" t="str">
        <f>IF('9. List &amp; Calc'!J233="", "", "✓")</f>
        <v/>
      </c>
      <c r="U208" s="451"/>
      <c r="V208" s="451"/>
      <c r="W208" s="451" t="str">
        <f>IF('9. List &amp; Calc'!K233="", "", "✓")</f>
        <v/>
      </c>
      <c r="X208" s="451"/>
      <c r="Y208" s="451"/>
      <c r="Z208" s="451" t="str">
        <f>IF('9. List &amp; Calc'!L233="", "", "✓")</f>
        <v/>
      </c>
      <c r="AA208" s="451"/>
      <c r="AB208" s="451"/>
      <c r="AC208" s="451" t="str">
        <f>IF('9. List &amp; Calc'!M233="", "", "✓")</f>
        <v/>
      </c>
      <c r="AD208" s="451"/>
      <c r="AE208" s="451"/>
    </row>
    <row r="209" spans="2:31" ht="20.100000000000001" customHeight="1" x14ac:dyDescent="0.25">
      <c r="B209" s="359">
        <f>IF('5. Initiative List'!C13="", "", '5. Initiative List'!B13)</f>
        <v>8</v>
      </c>
      <c r="C209" s="447" t="str">
        <f>IF('5. Initiative List'!C13="", "", '5. Initiative List'!C13)</f>
        <v>Enhance CI/CD Pipelines With Secrets Scanning &amp; Signing Tools</v>
      </c>
      <c r="D209" s="447"/>
      <c r="E209" s="447"/>
      <c r="F209" s="447"/>
      <c r="G209" s="447"/>
      <c r="H209" s="447"/>
      <c r="I209" s="447"/>
      <c r="J209" s="447"/>
      <c r="K209" s="447"/>
      <c r="L209" s="447"/>
      <c r="M209" s="447"/>
      <c r="N209" s="452" t="str">
        <f>IF('9. List &amp; Calc'!H234="", "", "✓")</f>
        <v>✓</v>
      </c>
      <c r="O209" s="452"/>
      <c r="P209" s="452"/>
      <c r="Q209" s="452" t="str">
        <f>IF('9. List &amp; Calc'!I234="", "", "✓")</f>
        <v/>
      </c>
      <c r="R209" s="452"/>
      <c r="S209" s="452"/>
      <c r="T209" s="452" t="str">
        <f>IF('9. List &amp; Calc'!J234="", "", "✓")</f>
        <v>✓</v>
      </c>
      <c r="U209" s="452"/>
      <c r="V209" s="452"/>
      <c r="W209" s="452" t="str">
        <f>IF('9. List &amp; Calc'!K234="", "", "✓")</f>
        <v/>
      </c>
      <c r="X209" s="452"/>
      <c r="Y209" s="452"/>
      <c r="Z209" s="452" t="str">
        <f>IF('9. List &amp; Calc'!L234="", "", "✓")</f>
        <v/>
      </c>
      <c r="AA209" s="452"/>
      <c r="AB209" s="452"/>
      <c r="AC209" s="452" t="str">
        <f>IF('9. List &amp; Calc'!M234="", "", "✓")</f>
        <v/>
      </c>
      <c r="AD209" s="452"/>
      <c r="AE209" s="452"/>
    </row>
    <row r="210" spans="2:31" ht="20.100000000000001" customHeight="1" x14ac:dyDescent="0.25">
      <c r="B210" s="360">
        <f>IF('5. Initiative List'!C14="", "", '5. Initiative List'!B14)</f>
        <v>9</v>
      </c>
      <c r="C210" s="446" t="str">
        <f>IF('5. Initiative List'!C14="", "", '5. Initiative List'!C14)</f>
        <v>Implement IaC and Container Security Scanning</v>
      </c>
      <c r="D210" s="446"/>
      <c r="E210" s="446"/>
      <c r="F210" s="446"/>
      <c r="G210" s="446"/>
      <c r="H210" s="446"/>
      <c r="I210" s="446"/>
      <c r="J210" s="446"/>
      <c r="K210" s="446"/>
      <c r="L210" s="446"/>
      <c r="M210" s="446"/>
      <c r="N210" s="451" t="str">
        <f>IF('9. List &amp; Calc'!H235="", "", "✓")</f>
        <v>✓</v>
      </c>
      <c r="O210" s="451"/>
      <c r="P210" s="451"/>
      <c r="Q210" s="451" t="str">
        <f>IF('9. List &amp; Calc'!I235="", "", "✓")</f>
        <v/>
      </c>
      <c r="R210" s="451"/>
      <c r="S210" s="451"/>
      <c r="T210" s="451" t="str">
        <f>IF('9. List &amp; Calc'!J235="", "", "✓")</f>
        <v/>
      </c>
      <c r="U210" s="451"/>
      <c r="V210" s="451"/>
      <c r="W210" s="451" t="str">
        <f>IF('9. List &amp; Calc'!K235="", "", "✓")</f>
        <v/>
      </c>
      <c r="X210" s="451"/>
      <c r="Y210" s="451"/>
      <c r="Z210" s="451" t="str">
        <f>IF('9. List &amp; Calc'!L235="", "", "✓")</f>
        <v/>
      </c>
      <c r="AA210" s="451"/>
      <c r="AB210" s="451"/>
      <c r="AC210" s="451" t="str">
        <f>IF('9. List &amp; Calc'!M235="", "", "✓")</f>
        <v/>
      </c>
      <c r="AD210" s="451"/>
      <c r="AE210" s="451"/>
    </row>
    <row r="211" spans="2:31" ht="20.100000000000001" customHeight="1" x14ac:dyDescent="0.25">
      <c r="B211" s="359">
        <f>IF('5. Initiative List'!C15="", "", '5. Initiative List'!B15)</f>
        <v>10</v>
      </c>
      <c r="C211" s="447" t="str">
        <f>IF('5. Initiative List'!C15="", "", '5. Initiative List'!C15)</f>
        <v>Adopt Policy-as-Code for Automated Security Governance</v>
      </c>
      <c r="D211" s="447"/>
      <c r="E211" s="447"/>
      <c r="F211" s="447"/>
      <c r="G211" s="447"/>
      <c r="H211" s="447"/>
      <c r="I211" s="447"/>
      <c r="J211" s="447"/>
      <c r="K211" s="447"/>
      <c r="L211" s="447"/>
      <c r="M211" s="447"/>
      <c r="N211" s="452" t="str">
        <f>IF('9. List &amp; Calc'!H236="", "", "✓")</f>
        <v>✓</v>
      </c>
      <c r="O211" s="452"/>
      <c r="P211" s="452"/>
      <c r="Q211" s="452" t="str">
        <f>IF('9. List &amp; Calc'!I236="", "", "✓")</f>
        <v>✓</v>
      </c>
      <c r="R211" s="452"/>
      <c r="S211" s="452"/>
      <c r="T211" s="452" t="str">
        <f>IF('9. List &amp; Calc'!J236="", "", "✓")</f>
        <v>✓</v>
      </c>
      <c r="U211" s="452"/>
      <c r="V211" s="452"/>
      <c r="W211" s="452" t="str">
        <f>IF('9. List &amp; Calc'!K236="", "", "✓")</f>
        <v/>
      </c>
      <c r="X211" s="452"/>
      <c r="Y211" s="452"/>
      <c r="Z211" s="452" t="str">
        <f>IF('9. List &amp; Calc'!L236="", "", "✓")</f>
        <v/>
      </c>
      <c r="AA211" s="452"/>
      <c r="AB211" s="452"/>
      <c r="AC211" s="452" t="str">
        <f>IF('9. List &amp; Calc'!M236="", "", "✓")</f>
        <v/>
      </c>
      <c r="AD211" s="452"/>
      <c r="AE211" s="452"/>
    </row>
    <row r="212" spans="2:31" ht="20.100000000000001" customHeight="1" x14ac:dyDescent="0.25">
      <c r="B212" s="360">
        <f>IF('5. Initiative List'!C16="", "", '5. Initiative List'!B16)</f>
        <v>11</v>
      </c>
      <c r="C212" s="446" t="str">
        <f>IF('5. Initiative List'!C16="", "", '5. Initiative List'!C16)</f>
        <v>Establish Fuzzing and Red Team Engagement Programs</v>
      </c>
      <c r="D212" s="446"/>
      <c r="E212" s="446"/>
      <c r="F212" s="446"/>
      <c r="G212" s="446"/>
      <c r="H212" s="446"/>
      <c r="I212" s="446"/>
      <c r="J212" s="446"/>
      <c r="K212" s="446"/>
      <c r="L212" s="446"/>
      <c r="M212" s="446"/>
      <c r="N212" s="451" t="str">
        <f>IF('9. List &amp; Calc'!H237="", "", "✓")</f>
        <v/>
      </c>
      <c r="O212" s="451"/>
      <c r="P212" s="451"/>
      <c r="Q212" s="451" t="str">
        <f>IF('9. List &amp; Calc'!I237="", "", "✓")</f>
        <v/>
      </c>
      <c r="R212" s="451"/>
      <c r="S212" s="451"/>
      <c r="T212" s="451" t="str">
        <f>IF('9. List &amp; Calc'!J237="", "", "✓")</f>
        <v/>
      </c>
      <c r="U212" s="451"/>
      <c r="V212" s="451"/>
      <c r="W212" s="451" t="str">
        <f>IF('9. List &amp; Calc'!K237="", "", "✓")</f>
        <v/>
      </c>
      <c r="X212" s="451"/>
      <c r="Y212" s="451"/>
      <c r="Z212" s="451" t="str">
        <f>IF('9. List &amp; Calc'!L237="", "", "✓")</f>
        <v/>
      </c>
      <c r="AA212" s="451"/>
      <c r="AB212" s="451"/>
      <c r="AC212" s="451" t="str">
        <f>IF('9. List &amp; Calc'!M237="", "", "✓")</f>
        <v/>
      </c>
      <c r="AD212" s="451"/>
      <c r="AE212" s="451"/>
    </row>
    <row r="213" spans="2:31" ht="20.100000000000001" customHeight="1" x14ac:dyDescent="0.25">
      <c r="B213" s="359">
        <f>IF('5. Initiative List'!C17="", "", '5. Initiative List'!B17)</f>
        <v>12</v>
      </c>
      <c r="C213" s="447" t="str">
        <f>IF('5. Initiative List'!C17="", "", '5. Initiative List'!C17)</f>
        <v>Deploy Centralized Security Monitoring and Threat Detection Tools</v>
      </c>
      <c r="D213" s="447"/>
      <c r="E213" s="447"/>
      <c r="F213" s="447"/>
      <c r="G213" s="447"/>
      <c r="H213" s="447"/>
      <c r="I213" s="447"/>
      <c r="J213" s="447"/>
      <c r="K213" s="447"/>
      <c r="L213" s="447"/>
      <c r="M213" s="447"/>
      <c r="N213" s="452" t="str">
        <f>IF('9. List &amp; Calc'!H238="", "", "✓")</f>
        <v>✓</v>
      </c>
      <c r="O213" s="452"/>
      <c r="P213" s="452"/>
      <c r="Q213" s="452" t="str">
        <f>IF('9. List &amp; Calc'!I238="", "", "✓")</f>
        <v>✓</v>
      </c>
      <c r="R213" s="452"/>
      <c r="S213" s="452"/>
      <c r="T213" s="452" t="str">
        <f>IF('9. List &amp; Calc'!J238="", "", "✓")</f>
        <v/>
      </c>
      <c r="U213" s="452"/>
      <c r="V213" s="452"/>
      <c r="W213" s="452" t="str">
        <f>IF('9. List &amp; Calc'!K238="", "", "✓")</f>
        <v>✓</v>
      </c>
      <c r="X213" s="452"/>
      <c r="Y213" s="452"/>
      <c r="Z213" s="452" t="str">
        <f>IF('9. List &amp; Calc'!L238="", "", "✓")</f>
        <v/>
      </c>
      <c r="AA213" s="452"/>
      <c r="AB213" s="452"/>
      <c r="AC213" s="452" t="str">
        <f>IF('9. List &amp; Calc'!M238="", "", "✓")</f>
        <v>✓</v>
      </c>
      <c r="AD213" s="452"/>
      <c r="AE213" s="452"/>
    </row>
    <row r="214" spans="2:31" ht="20.100000000000001" customHeight="1" x14ac:dyDescent="0.25">
      <c r="B214" s="360">
        <f>IF('5. Initiative List'!C18="", "", '5. Initiative List'!B18)</f>
        <v>13</v>
      </c>
      <c r="C214" s="446" t="str">
        <f>IF('5. Initiative List'!C18="", "", '5. Initiative List'!C18)</f>
        <v>Integrate Patch Management &amp; Vulnerability Scanning Automation</v>
      </c>
      <c r="D214" s="446"/>
      <c r="E214" s="446"/>
      <c r="F214" s="446"/>
      <c r="G214" s="446"/>
      <c r="H214" s="446"/>
      <c r="I214" s="446"/>
      <c r="J214" s="446"/>
      <c r="K214" s="446"/>
      <c r="L214" s="446"/>
      <c r="M214" s="446"/>
      <c r="N214" s="451" t="str">
        <f>IF('9. List &amp; Calc'!H239="", "", "✓")</f>
        <v>✓</v>
      </c>
      <c r="O214" s="451"/>
      <c r="P214" s="451"/>
      <c r="Q214" s="451" t="str">
        <f>IF('9. List &amp; Calc'!I239="", "", "✓")</f>
        <v>✓</v>
      </c>
      <c r="R214" s="451"/>
      <c r="S214" s="451"/>
      <c r="T214" s="451" t="str">
        <f>IF('9. List &amp; Calc'!J239="", "", "✓")</f>
        <v>✓</v>
      </c>
      <c r="U214" s="451"/>
      <c r="V214" s="451"/>
      <c r="W214" s="451" t="str">
        <f>IF('9. List &amp; Calc'!K239="", "", "✓")</f>
        <v>✓</v>
      </c>
      <c r="X214" s="451"/>
      <c r="Y214" s="451"/>
      <c r="Z214" s="451" t="str">
        <f>IF('9. List &amp; Calc'!L239="", "", "✓")</f>
        <v>✓</v>
      </c>
      <c r="AA214" s="451"/>
      <c r="AB214" s="451"/>
      <c r="AC214" s="451" t="str">
        <f>IF('9. List &amp; Calc'!M239="", "", "✓")</f>
        <v/>
      </c>
      <c r="AD214" s="451"/>
      <c r="AE214" s="451"/>
    </row>
    <row r="215" spans="2:31" ht="20.100000000000001" customHeight="1" x14ac:dyDescent="0.25">
      <c r="B215" s="359">
        <f>IF('5. Initiative List'!C19="", "", '5. Initiative List'!B19)</f>
        <v>14</v>
      </c>
      <c r="C215" s="447" t="str">
        <f>IF('5. Initiative List'!C19="", "", '5. Initiative List'!C19)</f>
        <v>Launch Responsible Disclosure &amp; Bug Bounty Program</v>
      </c>
      <c r="D215" s="447"/>
      <c r="E215" s="447"/>
      <c r="F215" s="447"/>
      <c r="G215" s="447"/>
      <c r="H215" s="447"/>
      <c r="I215" s="447"/>
      <c r="J215" s="447"/>
      <c r="K215" s="447"/>
      <c r="L215" s="447"/>
      <c r="M215" s="447"/>
      <c r="N215" s="452" t="str">
        <f>IF('9. List &amp; Calc'!H240="", "", "✓")</f>
        <v/>
      </c>
      <c r="O215" s="452"/>
      <c r="P215" s="452"/>
      <c r="Q215" s="452" t="str">
        <f>IF('9. List &amp; Calc'!I240="", "", "✓")</f>
        <v>✓</v>
      </c>
      <c r="R215" s="452"/>
      <c r="S215" s="452"/>
      <c r="T215" s="452" t="str">
        <f>IF('9. List &amp; Calc'!J240="", "", "✓")</f>
        <v/>
      </c>
      <c r="U215" s="452"/>
      <c r="V215" s="452"/>
      <c r="W215" s="452" t="str">
        <f>IF('9. List &amp; Calc'!K240="", "", "✓")</f>
        <v/>
      </c>
      <c r="X215" s="452"/>
      <c r="Y215" s="452"/>
      <c r="Z215" s="452" t="str">
        <f>IF('9. List &amp; Calc'!L240="", "", "✓")</f>
        <v/>
      </c>
      <c r="AA215" s="452"/>
      <c r="AB215" s="452"/>
      <c r="AC215" s="452" t="str">
        <f>IF('9. List &amp; Calc'!M240="", "", "✓")</f>
        <v/>
      </c>
      <c r="AD215" s="452"/>
      <c r="AE215" s="452"/>
    </row>
    <row r="216" spans="2:31" ht="20.100000000000001" customHeight="1" x14ac:dyDescent="0.25">
      <c r="B216" s="360">
        <f>IF('5. Initiative List'!C20="", "", '5. Initiative List'!B20)</f>
        <v>15</v>
      </c>
      <c r="C216" s="446" t="str">
        <f>IF('5. Initiative List'!C20="", "", '5. Initiative List'!C20)</f>
        <v>Develop AI Risk Governance Framework</v>
      </c>
      <c r="D216" s="446"/>
      <c r="E216" s="446"/>
      <c r="F216" s="446"/>
      <c r="G216" s="446"/>
      <c r="H216" s="446"/>
      <c r="I216" s="446"/>
      <c r="J216" s="446"/>
      <c r="K216" s="446"/>
      <c r="L216" s="446"/>
      <c r="M216" s="446"/>
      <c r="N216" s="451" t="str">
        <f>IF('9. List &amp; Calc'!H241="", "", "✓")</f>
        <v/>
      </c>
      <c r="O216" s="451"/>
      <c r="P216" s="451"/>
      <c r="Q216" s="451" t="str">
        <f>IF('9. List &amp; Calc'!I241="", "", "✓")</f>
        <v/>
      </c>
      <c r="R216" s="451"/>
      <c r="S216" s="451"/>
      <c r="T216" s="451" t="str">
        <f>IF('9. List &amp; Calc'!J241="", "", "✓")</f>
        <v/>
      </c>
      <c r="U216" s="451"/>
      <c r="V216" s="451"/>
      <c r="W216" s="451" t="str">
        <f>IF('9. List &amp; Calc'!K241="", "", "✓")</f>
        <v/>
      </c>
      <c r="X216" s="451"/>
      <c r="Y216" s="451"/>
      <c r="Z216" s="451" t="str">
        <f>IF('9. List &amp; Calc'!L241="", "", "✓")</f>
        <v/>
      </c>
      <c r="AA216" s="451"/>
      <c r="AB216" s="451"/>
      <c r="AC216" s="451" t="str">
        <f>IF('9. List &amp; Calc'!M241="", "", "✓")</f>
        <v/>
      </c>
      <c r="AD216" s="451"/>
      <c r="AE216" s="451"/>
    </row>
    <row r="217" spans="2:31" ht="20.100000000000001" customHeight="1" x14ac:dyDescent="0.25">
      <c r="B217" s="359" t="str">
        <f>IF('5. Initiative List'!C21="", "", '5. Initiative List'!B21)</f>
        <v/>
      </c>
      <c r="C217" s="447" t="str">
        <f>IF('5. Initiative List'!C21="", "", '5. Initiative List'!C21)</f>
        <v/>
      </c>
      <c r="D217" s="447"/>
      <c r="E217" s="447"/>
      <c r="F217" s="447"/>
      <c r="G217" s="447"/>
      <c r="H217" s="447"/>
      <c r="I217" s="447"/>
      <c r="J217" s="447"/>
      <c r="K217" s="447"/>
      <c r="L217" s="447"/>
      <c r="M217" s="447"/>
      <c r="N217" s="452" t="str">
        <f>IF('9. List &amp; Calc'!H242="", "", "✓")</f>
        <v/>
      </c>
      <c r="O217" s="452"/>
      <c r="P217" s="452"/>
      <c r="Q217" s="452" t="str">
        <f>IF('9. List &amp; Calc'!I242="", "", "✓")</f>
        <v/>
      </c>
      <c r="R217" s="452"/>
      <c r="S217" s="452"/>
      <c r="T217" s="452" t="str">
        <f>IF('9. List &amp; Calc'!J242="", "", "✓")</f>
        <v/>
      </c>
      <c r="U217" s="452"/>
      <c r="V217" s="452"/>
      <c r="W217" s="452" t="str">
        <f>IF('9. List &amp; Calc'!K242="", "", "✓")</f>
        <v/>
      </c>
      <c r="X217" s="452"/>
      <c r="Y217" s="452"/>
      <c r="Z217" s="452" t="str">
        <f>IF('9. List &amp; Calc'!L242="", "", "✓")</f>
        <v/>
      </c>
      <c r="AA217" s="452"/>
      <c r="AB217" s="452"/>
      <c r="AC217" s="452" t="str">
        <f>IF('9. List &amp; Calc'!M242="", "", "✓")</f>
        <v/>
      </c>
      <c r="AD217" s="452"/>
      <c r="AE217" s="452"/>
    </row>
    <row r="218" spans="2:31" ht="20.100000000000001" customHeight="1" x14ac:dyDescent="0.25">
      <c r="B218" s="360" t="str">
        <f>IF('5. Initiative List'!C22="", "", '5. Initiative List'!B22)</f>
        <v/>
      </c>
      <c r="C218" s="446" t="str">
        <f>IF('5. Initiative List'!C22="", "", '5. Initiative List'!C22)</f>
        <v/>
      </c>
      <c r="D218" s="446"/>
      <c r="E218" s="446"/>
      <c r="F218" s="446"/>
      <c r="G218" s="446"/>
      <c r="H218" s="446"/>
      <c r="I218" s="446"/>
      <c r="J218" s="446"/>
      <c r="K218" s="446"/>
      <c r="L218" s="446"/>
      <c r="M218" s="446"/>
      <c r="N218" s="451" t="str">
        <f>IF('9. List &amp; Calc'!H243="", "", "✓")</f>
        <v/>
      </c>
      <c r="O218" s="451"/>
      <c r="P218" s="451"/>
      <c r="Q218" s="451" t="str">
        <f>IF('9. List &amp; Calc'!I243="", "", "✓")</f>
        <v/>
      </c>
      <c r="R218" s="451"/>
      <c r="S218" s="451"/>
      <c r="T218" s="451" t="str">
        <f>IF('9. List &amp; Calc'!J243="", "", "✓")</f>
        <v/>
      </c>
      <c r="U218" s="451"/>
      <c r="V218" s="451"/>
      <c r="W218" s="451" t="str">
        <f>IF('9. List &amp; Calc'!K243="", "", "✓")</f>
        <v/>
      </c>
      <c r="X218" s="451"/>
      <c r="Y218" s="451"/>
      <c r="Z218" s="451" t="str">
        <f>IF('9. List &amp; Calc'!L243="", "", "✓")</f>
        <v/>
      </c>
      <c r="AA218" s="451"/>
      <c r="AB218" s="451"/>
      <c r="AC218" s="451" t="str">
        <f>IF('9. List &amp; Calc'!M243="", "", "✓")</f>
        <v/>
      </c>
      <c r="AD218" s="451"/>
      <c r="AE218" s="451"/>
    </row>
    <row r="219" spans="2:31" ht="20.100000000000001" customHeight="1" x14ac:dyDescent="0.25">
      <c r="B219" s="359" t="str">
        <f>IF('5. Initiative List'!C23="", "", '5. Initiative List'!B23)</f>
        <v/>
      </c>
      <c r="C219" s="447" t="str">
        <f>IF('5. Initiative List'!C23="", "", '5. Initiative List'!C23)</f>
        <v/>
      </c>
      <c r="D219" s="447"/>
      <c r="E219" s="447"/>
      <c r="F219" s="447"/>
      <c r="G219" s="447"/>
      <c r="H219" s="447"/>
      <c r="I219" s="447"/>
      <c r="J219" s="447"/>
      <c r="K219" s="447"/>
      <c r="L219" s="447"/>
      <c r="M219" s="447"/>
      <c r="N219" s="452" t="str">
        <f>IF('9. List &amp; Calc'!H244="", "", "✓")</f>
        <v/>
      </c>
      <c r="O219" s="452"/>
      <c r="P219" s="452"/>
      <c r="Q219" s="452" t="str">
        <f>IF('9. List &amp; Calc'!I244="", "", "✓")</f>
        <v/>
      </c>
      <c r="R219" s="452"/>
      <c r="S219" s="452"/>
      <c r="T219" s="452" t="str">
        <f>IF('9. List &amp; Calc'!J244="", "", "✓")</f>
        <v/>
      </c>
      <c r="U219" s="452"/>
      <c r="V219" s="452"/>
      <c r="W219" s="452" t="str">
        <f>IF('9. List &amp; Calc'!K244="", "", "✓")</f>
        <v/>
      </c>
      <c r="X219" s="452"/>
      <c r="Y219" s="452"/>
      <c r="Z219" s="452" t="str">
        <f>IF('9. List &amp; Calc'!L244="", "", "✓")</f>
        <v/>
      </c>
      <c r="AA219" s="452"/>
      <c r="AB219" s="452"/>
      <c r="AC219" s="452" t="str">
        <f>IF('9. List &amp; Calc'!M244="", "", "✓")</f>
        <v/>
      </c>
      <c r="AD219" s="452"/>
      <c r="AE219" s="452"/>
    </row>
    <row r="220" spans="2:31" ht="20.100000000000001" customHeight="1" x14ac:dyDescent="0.25">
      <c r="B220" s="360" t="str">
        <f>IF('5. Initiative List'!C24="", "", '5. Initiative List'!B24)</f>
        <v/>
      </c>
      <c r="C220" s="446" t="str">
        <f>IF('5. Initiative List'!C24="", "", '5. Initiative List'!C24)</f>
        <v/>
      </c>
      <c r="D220" s="446"/>
      <c r="E220" s="446"/>
      <c r="F220" s="446"/>
      <c r="G220" s="446"/>
      <c r="H220" s="446"/>
      <c r="I220" s="446"/>
      <c r="J220" s="446"/>
      <c r="K220" s="446"/>
      <c r="L220" s="446"/>
      <c r="M220" s="446"/>
      <c r="N220" s="451" t="str">
        <f>IF('9. List &amp; Calc'!H245="", "", "✓")</f>
        <v/>
      </c>
      <c r="O220" s="451"/>
      <c r="P220" s="451"/>
      <c r="Q220" s="451" t="str">
        <f>IF('9. List &amp; Calc'!I245="", "", "✓")</f>
        <v/>
      </c>
      <c r="R220" s="451"/>
      <c r="S220" s="451"/>
      <c r="T220" s="451" t="str">
        <f>IF('9. List &amp; Calc'!J245="", "", "✓")</f>
        <v/>
      </c>
      <c r="U220" s="451"/>
      <c r="V220" s="451"/>
      <c r="W220" s="451" t="str">
        <f>IF('9. List &amp; Calc'!K245="", "", "✓")</f>
        <v/>
      </c>
      <c r="X220" s="451"/>
      <c r="Y220" s="451"/>
      <c r="Z220" s="451" t="str">
        <f>IF('9. List &amp; Calc'!L245="", "", "✓")</f>
        <v/>
      </c>
      <c r="AA220" s="451"/>
      <c r="AB220" s="451"/>
      <c r="AC220" s="451" t="str">
        <f>IF('9. List &amp; Calc'!M245="", "", "✓")</f>
        <v/>
      </c>
      <c r="AD220" s="451"/>
      <c r="AE220" s="451"/>
    </row>
    <row r="221" spans="2:31" ht="20.100000000000001" customHeight="1" x14ac:dyDescent="0.25">
      <c r="B221" s="359" t="str">
        <f>IF('5. Initiative List'!C25="", "", '5. Initiative List'!B25)</f>
        <v/>
      </c>
      <c r="C221" s="447" t="str">
        <f>IF('5. Initiative List'!C25="", "", '5. Initiative List'!C25)</f>
        <v/>
      </c>
      <c r="D221" s="447"/>
      <c r="E221" s="447"/>
      <c r="F221" s="447"/>
      <c r="G221" s="447"/>
      <c r="H221" s="447"/>
      <c r="I221" s="447"/>
      <c r="J221" s="447"/>
      <c r="K221" s="447"/>
      <c r="L221" s="447"/>
      <c r="M221" s="447"/>
      <c r="N221" s="452" t="str">
        <f>IF('9. List &amp; Calc'!H246="", "", "✓")</f>
        <v/>
      </c>
      <c r="O221" s="452"/>
      <c r="P221" s="452"/>
      <c r="Q221" s="452" t="str">
        <f>IF('9. List &amp; Calc'!I246="", "", "✓")</f>
        <v/>
      </c>
      <c r="R221" s="452"/>
      <c r="S221" s="452"/>
      <c r="T221" s="452" t="str">
        <f>IF('9. List &amp; Calc'!J246="", "", "✓")</f>
        <v/>
      </c>
      <c r="U221" s="452"/>
      <c r="V221" s="452"/>
      <c r="W221" s="452" t="str">
        <f>IF('9. List &amp; Calc'!K246="", "", "✓")</f>
        <v/>
      </c>
      <c r="X221" s="452"/>
      <c r="Y221" s="452"/>
      <c r="Z221" s="452" t="str">
        <f>IF('9. List &amp; Calc'!L246="", "", "✓")</f>
        <v/>
      </c>
      <c r="AA221" s="452"/>
      <c r="AB221" s="452"/>
      <c r="AC221" s="452" t="str">
        <f>IF('9. List &amp; Calc'!M246="", "", "✓")</f>
        <v/>
      </c>
      <c r="AD221" s="452"/>
      <c r="AE221" s="452"/>
    </row>
    <row r="222" spans="2:31" ht="20.100000000000001" customHeight="1" x14ac:dyDescent="0.25">
      <c r="B222" s="360" t="str">
        <f>IF('5. Initiative List'!C26="", "", '5. Initiative List'!B26)</f>
        <v/>
      </c>
      <c r="C222" s="446" t="str">
        <f>IF('5. Initiative List'!C26="", "", '5. Initiative List'!C26)</f>
        <v/>
      </c>
      <c r="D222" s="446"/>
      <c r="E222" s="446"/>
      <c r="F222" s="446"/>
      <c r="G222" s="446"/>
      <c r="H222" s="446"/>
      <c r="I222" s="446"/>
      <c r="J222" s="446"/>
      <c r="K222" s="446"/>
      <c r="L222" s="446"/>
      <c r="M222" s="446"/>
      <c r="N222" s="451" t="str">
        <f>IF('9. List &amp; Calc'!H247="", "", "✓")</f>
        <v/>
      </c>
      <c r="O222" s="451"/>
      <c r="P222" s="451"/>
      <c r="Q222" s="451" t="str">
        <f>IF('9. List &amp; Calc'!I247="", "", "✓")</f>
        <v/>
      </c>
      <c r="R222" s="451"/>
      <c r="S222" s="451"/>
      <c r="T222" s="451" t="str">
        <f>IF('9. List &amp; Calc'!J247="", "", "✓")</f>
        <v/>
      </c>
      <c r="U222" s="451"/>
      <c r="V222" s="451"/>
      <c r="W222" s="451" t="str">
        <f>IF('9. List &amp; Calc'!K247="", "", "✓")</f>
        <v/>
      </c>
      <c r="X222" s="451"/>
      <c r="Y222" s="451"/>
      <c r="Z222" s="451" t="str">
        <f>IF('9. List &amp; Calc'!L247="", "", "✓")</f>
        <v/>
      </c>
      <c r="AA222" s="451"/>
      <c r="AB222" s="451"/>
      <c r="AC222" s="451" t="str">
        <f>IF('9. List &amp; Calc'!M247="", "", "✓")</f>
        <v/>
      </c>
      <c r="AD222" s="451"/>
      <c r="AE222" s="451"/>
    </row>
    <row r="223" spans="2:31" ht="20.100000000000001" customHeight="1" x14ac:dyDescent="0.25">
      <c r="B223" s="359" t="str">
        <f>IF('5. Initiative List'!C27="", "", '5. Initiative List'!B27)</f>
        <v/>
      </c>
      <c r="C223" s="447" t="str">
        <f>IF('5. Initiative List'!C27="", "", '5. Initiative List'!C27)</f>
        <v/>
      </c>
      <c r="D223" s="447"/>
      <c r="E223" s="447"/>
      <c r="F223" s="447"/>
      <c r="G223" s="447"/>
      <c r="H223" s="447"/>
      <c r="I223" s="447"/>
      <c r="J223" s="447"/>
      <c r="K223" s="447"/>
      <c r="L223" s="447"/>
      <c r="M223" s="447"/>
      <c r="N223" s="452" t="str">
        <f>IF('9. List &amp; Calc'!H248="", "", "✓")</f>
        <v/>
      </c>
      <c r="O223" s="452"/>
      <c r="P223" s="452"/>
      <c r="Q223" s="452" t="str">
        <f>IF('9. List &amp; Calc'!I248="", "", "✓")</f>
        <v/>
      </c>
      <c r="R223" s="452"/>
      <c r="S223" s="452"/>
      <c r="T223" s="452" t="str">
        <f>IF('9. List &amp; Calc'!J248="", "", "✓")</f>
        <v/>
      </c>
      <c r="U223" s="452"/>
      <c r="V223" s="452"/>
      <c r="W223" s="452" t="str">
        <f>IF('9. List &amp; Calc'!K248="", "", "✓")</f>
        <v/>
      </c>
      <c r="X223" s="452"/>
      <c r="Y223" s="452"/>
      <c r="Z223" s="452" t="str">
        <f>IF('9. List &amp; Calc'!L248="", "", "✓")</f>
        <v/>
      </c>
      <c r="AA223" s="452"/>
      <c r="AB223" s="452"/>
      <c r="AC223" s="452" t="str">
        <f>IF('9. List &amp; Calc'!M248="", "", "✓")</f>
        <v/>
      </c>
      <c r="AD223" s="452"/>
      <c r="AE223" s="452"/>
    </row>
    <row r="224" spans="2:31" ht="20.100000000000001" customHeight="1" x14ac:dyDescent="0.25">
      <c r="B224" s="360" t="str">
        <f>IF('5. Initiative List'!C28="", "", '5. Initiative List'!B28)</f>
        <v/>
      </c>
      <c r="C224" s="446" t="str">
        <f>IF('5. Initiative List'!C28="", "", '5. Initiative List'!C28)</f>
        <v/>
      </c>
      <c r="D224" s="446"/>
      <c r="E224" s="446"/>
      <c r="F224" s="446"/>
      <c r="G224" s="446"/>
      <c r="H224" s="446"/>
      <c r="I224" s="446"/>
      <c r="J224" s="446"/>
      <c r="K224" s="446"/>
      <c r="L224" s="446"/>
      <c r="M224" s="446"/>
      <c r="N224" s="451" t="str">
        <f>IF('9. List &amp; Calc'!H249="", "", "✓")</f>
        <v/>
      </c>
      <c r="O224" s="451"/>
      <c r="P224" s="451"/>
      <c r="Q224" s="451" t="str">
        <f>IF('9. List &amp; Calc'!I249="", "", "✓")</f>
        <v/>
      </c>
      <c r="R224" s="451"/>
      <c r="S224" s="451"/>
      <c r="T224" s="451" t="str">
        <f>IF('9. List &amp; Calc'!J249="", "", "✓")</f>
        <v/>
      </c>
      <c r="U224" s="451"/>
      <c r="V224" s="451"/>
      <c r="W224" s="451" t="str">
        <f>IF('9. List &amp; Calc'!K249="", "", "✓")</f>
        <v/>
      </c>
      <c r="X224" s="451"/>
      <c r="Y224" s="451"/>
      <c r="Z224" s="451" t="str">
        <f>IF('9. List &amp; Calc'!L249="", "", "✓")</f>
        <v/>
      </c>
      <c r="AA224" s="451"/>
      <c r="AB224" s="451"/>
      <c r="AC224" s="451" t="str">
        <f>IF('9. List &amp; Calc'!M249="", "", "✓")</f>
        <v/>
      </c>
      <c r="AD224" s="451"/>
      <c r="AE224" s="451"/>
    </row>
    <row r="225" spans="2:31" ht="20.100000000000001" customHeight="1" x14ac:dyDescent="0.25">
      <c r="B225" s="359" t="str">
        <f>IF('5. Initiative List'!C29="", "", '5. Initiative List'!B29)</f>
        <v/>
      </c>
      <c r="C225" s="447" t="str">
        <f>IF('5. Initiative List'!C29="", "", '5. Initiative List'!C29)</f>
        <v/>
      </c>
      <c r="D225" s="447"/>
      <c r="E225" s="447"/>
      <c r="F225" s="447"/>
      <c r="G225" s="447"/>
      <c r="H225" s="447"/>
      <c r="I225" s="447"/>
      <c r="J225" s="447"/>
      <c r="K225" s="447"/>
      <c r="L225" s="447"/>
      <c r="M225" s="447"/>
      <c r="N225" s="452" t="str">
        <f>IF('9. List &amp; Calc'!H250="", "", "✓")</f>
        <v/>
      </c>
      <c r="O225" s="452"/>
      <c r="P225" s="452"/>
      <c r="Q225" s="452" t="str">
        <f>IF('9. List &amp; Calc'!I250="", "", "✓")</f>
        <v/>
      </c>
      <c r="R225" s="452"/>
      <c r="S225" s="452"/>
      <c r="T225" s="452" t="str">
        <f>IF('9. List &amp; Calc'!J250="", "", "✓")</f>
        <v/>
      </c>
      <c r="U225" s="452"/>
      <c r="V225" s="452"/>
      <c r="W225" s="452" t="str">
        <f>IF('9. List &amp; Calc'!K250="", "", "✓")</f>
        <v/>
      </c>
      <c r="X225" s="452"/>
      <c r="Y225" s="452"/>
      <c r="Z225" s="452" t="str">
        <f>IF('9. List &amp; Calc'!L250="", "", "✓")</f>
        <v/>
      </c>
      <c r="AA225" s="452"/>
      <c r="AB225" s="452"/>
      <c r="AC225" s="452" t="str">
        <f>IF('9. List &amp; Calc'!M250="", "", "✓")</f>
        <v/>
      </c>
      <c r="AD225" s="452"/>
      <c r="AE225" s="452"/>
    </row>
    <row r="226" spans="2:31" ht="20.100000000000001" customHeight="1" x14ac:dyDescent="0.25">
      <c r="B226" s="360" t="str">
        <f>IF('5. Initiative List'!C30="", "", '5. Initiative List'!B30)</f>
        <v/>
      </c>
      <c r="C226" s="446" t="str">
        <f>IF('5. Initiative List'!C30="", "", '5. Initiative List'!C30)</f>
        <v/>
      </c>
      <c r="D226" s="446"/>
      <c r="E226" s="446"/>
      <c r="F226" s="446"/>
      <c r="G226" s="446"/>
      <c r="H226" s="446"/>
      <c r="I226" s="446"/>
      <c r="J226" s="446"/>
      <c r="K226" s="446"/>
      <c r="L226" s="446"/>
      <c r="M226" s="446"/>
      <c r="N226" s="451" t="str">
        <f>IF('9. List &amp; Calc'!H251="", "", "✓")</f>
        <v/>
      </c>
      <c r="O226" s="451"/>
      <c r="P226" s="451"/>
      <c r="Q226" s="451" t="str">
        <f>IF('9. List &amp; Calc'!I251="", "", "✓")</f>
        <v/>
      </c>
      <c r="R226" s="451"/>
      <c r="S226" s="451"/>
      <c r="T226" s="451" t="str">
        <f>IF('9. List &amp; Calc'!J251="", "", "✓")</f>
        <v/>
      </c>
      <c r="U226" s="451"/>
      <c r="V226" s="451"/>
      <c r="W226" s="451" t="str">
        <f>IF('9. List &amp; Calc'!K251="", "", "✓")</f>
        <v/>
      </c>
      <c r="X226" s="451"/>
      <c r="Y226" s="451"/>
      <c r="Z226" s="451" t="str">
        <f>IF('9. List &amp; Calc'!L251="", "", "✓")</f>
        <v/>
      </c>
      <c r="AA226" s="451"/>
      <c r="AB226" s="451"/>
      <c r="AC226" s="451" t="str">
        <f>IF('9. List &amp; Calc'!M251="", "", "✓")</f>
        <v/>
      </c>
      <c r="AD226" s="451"/>
      <c r="AE226" s="451"/>
    </row>
    <row r="227" spans="2:31" ht="20.100000000000001" customHeight="1" x14ac:dyDescent="0.25">
      <c r="B227" s="359" t="str">
        <f>IF('5. Initiative List'!C31="", "", '5. Initiative List'!B31)</f>
        <v/>
      </c>
      <c r="C227" s="447" t="str">
        <f>IF('5. Initiative List'!C31="", "", '5. Initiative List'!C31)</f>
        <v/>
      </c>
      <c r="D227" s="447"/>
      <c r="E227" s="447"/>
      <c r="F227" s="447"/>
      <c r="G227" s="447"/>
      <c r="H227" s="447"/>
      <c r="I227" s="447"/>
      <c r="J227" s="447"/>
      <c r="K227" s="447"/>
      <c r="L227" s="447"/>
      <c r="M227" s="447"/>
      <c r="N227" s="452" t="str">
        <f>IF('9. List &amp; Calc'!H252="", "", "✓")</f>
        <v/>
      </c>
      <c r="O227" s="452"/>
      <c r="P227" s="452"/>
      <c r="Q227" s="452" t="str">
        <f>IF('9. List &amp; Calc'!I252="", "", "✓")</f>
        <v/>
      </c>
      <c r="R227" s="452"/>
      <c r="S227" s="452"/>
      <c r="T227" s="452" t="str">
        <f>IF('9. List &amp; Calc'!J252="", "", "✓")</f>
        <v/>
      </c>
      <c r="U227" s="452"/>
      <c r="V227" s="452"/>
      <c r="W227" s="452" t="str">
        <f>IF('9. List &amp; Calc'!K252="", "", "✓")</f>
        <v/>
      </c>
      <c r="X227" s="452"/>
      <c r="Y227" s="452"/>
      <c r="Z227" s="452" t="str">
        <f>IF('9. List &amp; Calc'!L252="", "", "✓")</f>
        <v/>
      </c>
      <c r="AA227" s="452"/>
      <c r="AB227" s="452"/>
      <c r="AC227" s="452" t="str">
        <f>IF('9. List &amp; Calc'!M252="", "", "✓")</f>
        <v/>
      </c>
      <c r="AD227" s="452"/>
      <c r="AE227" s="452"/>
    </row>
    <row r="228" spans="2:31" ht="20.100000000000001" customHeight="1" x14ac:dyDescent="0.25">
      <c r="B228" s="360" t="str">
        <f>IF('5. Initiative List'!C32="", "", '5. Initiative List'!B32)</f>
        <v/>
      </c>
      <c r="C228" s="446" t="str">
        <f>IF('5. Initiative List'!C32="", "", '5. Initiative List'!C32)</f>
        <v/>
      </c>
      <c r="D228" s="446"/>
      <c r="E228" s="446"/>
      <c r="F228" s="446"/>
      <c r="G228" s="446"/>
      <c r="H228" s="446"/>
      <c r="I228" s="446"/>
      <c r="J228" s="446"/>
      <c r="K228" s="446"/>
      <c r="L228" s="446"/>
      <c r="M228" s="446"/>
      <c r="N228" s="451" t="str">
        <f>IF('9. List &amp; Calc'!H253="", "", "✓")</f>
        <v/>
      </c>
      <c r="O228" s="451"/>
      <c r="P228" s="451"/>
      <c r="Q228" s="451" t="str">
        <f>IF('9. List &amp; Calc'!I253="", "", "✓")</f>
        <v/>
      </c>
      <c r="R228" s="451"/>
      <c r="S228" s="451"/>
      <c r="T228" s="451" t="str">
        <f>IF('9. List &amp; Calc'!J253="", "", "✓")</f>
        <v/>
      </c>
      <c r="U228" s="451"/>
      <c r="V228" s="451"/>
      <c r="W228" s="451" t="str">
        <f>IF('9. List &amp; Calc'!K253="", "", "✓")</f>
        <v/>
      </c>
      <c r="X228" s="451"/>
      <c r="Y228" s="451"/>
      <c r="Z228" s="451" t="str">
        <f>IF('9. List &amp; Calc'!L253="", "", "✓")</f>
        <v/>
      </c>
      <c r="AA228" s="451"/>
      <c r="AB228" s="451"/>
      <c r="AC228" s="451" t="str">
        <f>IF('9. List &amp; Calc'!M253="", "", "✓")</f>
        <v/>
      </c>
      <c r="AD228" s="451"/>
      <c r="AE228" s="451"/>
    </row>
    <row r="229" spans="2:31" ht="20.100000000000001" customHeight="1" x14ac:dyDescent="0.25">
      <c r="B229" s="359" t="str">
        <f>IF('5. Initiative List'!C33="", "", '5. Initiative List'!B33)</f>
        <v/>
      </c>
      <c r="C229" s="447" t="str">
        <f>IF('5. Initiative List'!C33="", "", '5. Initiative List'!C33)</f>
        <v/>
      </c>
      <c r="D229" s="447"/>
      <c r="E229" s="447"/>
      <c r="F229" s="447"/>
      <c r="G229" s="447"/>
      <c r="H229" s="447"/>
      <c r="I229" s="447"/>
      <c r="J229" s="447"/>
      <c r="K229" s="447"/>
      <c r="L229" s="447"/>
      <c r="M229" s="447"/>
      <c r="N229" s="452" t="str">
        <f>IF('9. List &amp; Calc'!H254="", "", "✓")</f>
        <v/>
      </c>
      <c r="O229" s="452"/>
      <c r="P229" s="452"/>
      <c r="Q229" s="452" t="str">
        <f>IF('9. List &amp; Calc'!I254="", "", "✓")</f>
        <v/>
      </c>
      <c r="R229" s="452"/>
      <c r="S229" s="452"/>
      <c r="T229" s="452" t="str">
        <f>IF('9. List &amp; Calc'!J254="", "", "✓")</f>
        <v/>
      </c>
      <c r="U229" s="452"/>
      <c r="V229" s="452"/>
      <c r="W229" s="452" t="str">
        <f>IF('9. List &amp; Calc'!K254="", "", "✓")</f>
        <v/>
      </c>
      <c r="X229" s="452"/>
      <c r="Y229" s="452"/>
      <c r="Z229" s="452" t="str">
        <f>IF('9. List &amp; Calc'!L254="", "", "✓")</f>
        <v/>
      </c>
      <c r="AA229" s="452"/>
      <c r="AB229" s="452"/>
      <c r="AC229" s="452" t="str">
        <f>IF('9. List &amp; Calc'!M254="", "", "✓")</f>
        <v/>
      </c>
      <c r="AD229" s="452"/>
      <c r="AE229" s="452"/>
    </row>
    <row r="230" spans="2:31" ht="20.100000000000001" customHeight="1" x14ac:dyDescent="0.25">
      <c r="B230" s="360" t="str">
        <f>IF('5. Initiative List'!C34="", "", '5. Initiative List'!B34)</f>
        <v/>
      </c>
      <c r="C230" s="446" t="str">
        <f>IF('5. Initiative List'!C34="", "", '5. Initiative List'!C34)</f>
        <v/>
      </c>
      <c r="D230" s="446"/>
      <c r="E230" s="446"/>
      <c r="F230" s="446"/>
      <c r="G230" s="446"/>
      <c r="H230" s="446"/>
      <c r="I230" s="446"/>
      <c r="J230" s="446"/>
      <c r="K230" s="446"/>
      <c r="L230" s="446"/>
      <c r="M230" s="446"/>
      <c r="N230" s="451" t="str">
        <f>IF('9. List &amp; Calc'!H255="", "", "✓")</f>
        <v/>
      </c>
      <c r="O230" s="451"/>
      <c r="P230" s="451"/>
      <c r="Q230" s="451" t="str">
        <f>IF('9. List &amp; Calc'!I255="", "", "✓")</f>
        <v/>
      </c>
      <c r="R230" s="451"/>
      <c r="S230" s="451"/>
      <c r="T230" s="451" t="str">
        <f>IF('9. List &amp; Calc'!J255="", "", "✓")</f>
        <v/>
      </c>
      <c r="U230" s="451"/>
      <c r="V230" s="451"/>
      <c r="W230" s="451" t="str">
        <f>IF('9. List &amp; Calc'!K255="", "", "✓")</f>
        <v/>
      </c>
      <c r="X230" s="451"/>
      <c r="Y230" s="451"/>
      <c r="Z230" s="451" t="str">
        <f>IF('9. List &amp; Calc'!L255="", "", "✓")</f>
        <v/>
      </c>
      <c r="AA230" s="451"/>
      <c r="AB230" s="451"/>
      <c r="AC230" s="451" t="str">
        <f>IF('9. List &amp; Calc'!M255="", "", "✓")</f>
        <v/>
      </c>
      <c r="AD230" s="451"/>
      <c r="AE230" s="451"/>
    </row>
    <row r="231" spans="2:31" ht="20.100000000000001" customHeight="1" x14ac:dyDescent="0.25">
      <c r="B231" s="359" t="str">
        <f>IF('5. Initiative List'!C35="", "", '5. Initiative List'!B35)</f>
        <v/>
      </c>
      <c r="C231" s="447" t="str">
        <f>IF('5. Initiative List'!C35="", "", '5. Initiative List'!C35)</f>
        <v/>
      </c>
      <c r="D231" s="447"/>
      <c r="E231" s="447"/>
      <c r="F231" s="447"/>
      <c r="G231" s="447"/>
      <c r="H231" s="447"/>
      <c r="I231" s="447"/>
      <c r="J231" s="447"/>
      <c r="K231" s="447"/>
      <c r="L231" s="447"/>
      <c r="M231" s="447"/>
      <c r="N231" s="452" t="str">
        <f>IF('9. List &amp; Calc'!H256="", "", "✓")</f>
        <v/>
      </c>
      <c r="O231" s="452"/>
      <c r="P231" s="452"/>
      <c r="Q231" s="452" t="str">
        <f>IF('9. List &amp; Calc'!I256="", "", "✓")</f>
        <v/>
      </c>
      <c r="R231" s="452"/>
      <c r="S231" s="452"/>
      <c r="T231" s="452" t="str">
        <f>IF('9. List &amp; Calc'!J256="", "", "✓")</f>
        <v/>
      </c>
      <c r="U231" s="452"/>
      <c r="V231" s="452"/>
      <c r="W231" s="452" t="str">
        <f>IF('9. List &amp; Calc'!K256="", "", "✓")</f>
        <v/>
      </c>
      <c r="X231" s="452"/>
      <c r="Y231" s="452"/>
      <c r="Z231" s="452" t="str">
        <f>IF('9. List &amp; Calc'!L256="", "", "✓")</f>
        <v/>
      </c>
      <c r="AA231" s="452"/>
      <c r="AB231" s="452"/>
      <c r="AC231" s="452" t="str">
        <f>IF('9. List &amp; Calc'!M256="", "", "✓")</f>
        <v/>
      </c>
      <c r="AD231" s="452"/>
      <c r="AE231" s="452"/>
    </row>
    <row r="232" spans="2:31" ht="20.100000000000001" customHeight="1" x14ac:dyDescent="0.25">
      <c r="B232" s="360" t="str">
        <f>IF('5. Initiative List'!C36="", "", '5. Initiative List'!B36)</f>
        <v/>
      </c>
      <c r="C232" s="446" t="str">
        <f>IF('5. Initiative List'!C36="", "", '5. Initiative List'!C36)</f>
        <v/>
      </c>
      <c r="D232" s="446"/>
      <c r="E232" s="446"/>
      <c r="F232" s="446"/>
      <c r="G232" s="446"/>
      <c r="H232" s="446"/>
      <c r="I232" s="446"/>
      <c r="J232" s="446"/>
      <c r="K232" s="446"/>
      <c r="L232" s="446"/>
      <c r="M232" s="446"/>
      <c r="N232" s="451" t="str">
        <f>IF('9. List &amp; Calc'!H257="", "", "✓")</f>
        <v/>
      </c>
      <c r="O232" s="451"/>
      <c r="P232" s="451"/>
      <c r="Q232" s="451" t="str">
        <f>IF('9. List &amp; Calc'!I257="", "", "✓")</f>
        <v/>
      </c>
      <c r="R232" s="451"/>
      <c r="S232" s="451"/>
      <c r="T232" s="451" t="str">
        <f>IF('9. List &amp; Calc'!J257="", "", "✓")</f>
        <v/>
      </c>
      <c r="U232" s="451"/>
      <c r="V232" s="451"/>
      <c r="W232" s="451" t="str">
        <f>IF('9. List &amp; Calc'!K257="", "", "✓")</f>
        <v/>
      </c>
      <c r="X232" s="451"/>
      <c r="Y232" s="451"/>
      <c r="Z232" s="451" t="str">
        <f>IF('9. List &amp; Calc'!L257="", "", "✓")</f>
        <v/>
      </c>
      <c r="AA232" s="451"/>
      <c r="AB232" s="451"/>
      <c r="AC232" s="451" t="str">
        <f>IF('9. List &amp; Calc'!M257="", "", "✓")</f>
        <v/>
      </c>
      <c r="AD232" s="451"/>
      <c r="AE232" s="451"/>
    </row>
    <row r="233" spans="2:31" ht="20.100000000000001" customHeight="1" x14ac:dyDescent="0.25">
      <c r="B233" s="359" t="str">
        <f>IF('5. Initiative List'!C37="", "", '5. Initiative List'!B37)</f>
        <v/>
      </c>
      <c r="C233" s="447" t="str">
        <f>IF('5. Initiative List'!C37="", "", '5. Initiative List'!C37)</f>
        <v/>
      </c>
      <c r="D233" s="447"/>
      <c r="E233" s="447"/>
      <c r="F233" s="447"/>
      <c r="G233" s="447"/>
      <c r="H233" s="447"/>
      <c r="I233" s="447"/>
      <c r="J233" s="447"/>
      <c r="K233" s="447"/>
      <c r="L233" s="447"/>
      <c r="M233" s="447"/>
      <c r="N233" s="452" t="str">
        <f>IF('9. List &amp; Calc'!H258="", "", "✓")</f>
        <v/>
      </c>
      <c r="O233" s="452"/>
      <c r="P233" s="452"/>
      <c r="Q233" s="452" t="str">
        <f>IF('9. List &amp; Calc'!I258="", "", "✓")</f>
        <v/>
      </c>
      <c r="R233" s="452"/>
      <c r="S233" s="452"/>
      <c r="T233" s="452" t="str">
        <f>IF('9. List &amp; Calc'!J258="", "", "✓")</f>
        <v/>
      </c>
      <c r="U233" s="452"/>
      <c r="V233" s="452"/>
      <c r="W233" s="452" t="str">
        <f>IF('9. List &amp; Calc'!K258="", "", "✓")</f>
        <v/>
      </c>
      <c r="X233" s="452"/>
      <c r="Y233" s="452"/>
      <c r="Z233" s="452" t="str">
        <f>IF('9. List &amp; Calc'!L258="", "", "✓")</f>
        <v/>
      </c>
      <c r="AA233" s="452"/>
      <c r="AB233" s="452"/>
      <c r="AC233" s="452" t="str">
        <f>IF('9. List &amp; Calc'!M258="", "", "✓")</f>
        <v/>
      </c>
      <c r="AD233" s="452"/>
      <c r="AE233" s="452"/>
    </row>
    <row r="234" spans="2:31" ht="20.100000000000001" customHeight="1" x14ac:dyDescent="0.25">
      <c r="B234" s="360" t="str">
        <f>IF('5. Initiative List'!C38="", "", '5. Initiative List'!B38)</f>
        <v/>
      </c>
      <c r="C234" s="446" t="str">
        <f>IF('5. Initiative List'!C38="", "", '5. Initiative List'!C38)</f>
        <v/>
      </c>
      <c r="D234" s="446"/>
      <c r="E234" s="446"/>
      <c r="F234" s="446"/>
      <c r="G234" s="446"/>
      <c r="H234" s="446"/>
      <c r="I234" s="446"/>
      <c r="J234" s="446"/>
      <c r="K234" s="446"/>
      <c r="L234" s="446"/>
      <c r="M234" s="446"/>
      <c r="N234" s="451" t="str">
        <f>IF('9. List &amp; Calc'!H259="", "", "✓")</f>
        <v/>
      </c>
      <c r="O234" s="451"/>
      <c r="P234" s="451"/>
      <c r="Q234" s="451" t="str">
        <f>IF('9. List &amp; Calc'!I259="", "", "✓")</f>
        <v/>
      </c>
      <c r="R234" s="451"/>
      <c r="S234" s="451"/>
      <c r="T234" s="451" t="str">
        <f>IF('9. List &amp; Calc'!J259="", "", "✓")</f>
        <v/>
      </c>
      <c r="U234" s="451"/>
      <c r="V234" s="451"/>
      <c r="W234" s="451" t="str">
        <f>IF('9. List &amp; Calc'!K259="", "", "✓")</f>
        <v/>
      </c>
      <c r="X234" s="451"/>
      <c r="Y234" s="451"/>
      <c r="Z234" s="451" t="str">
        <f>IF('9. List &amp; Calc'!L259="", "", "✓")</f>
        <v/>
      </c>
      <c r="AA234" s="451"/>
      <c r="AB234" s="451"/>
      <c r="AC234" s="451" t="str">
        <f>IF('9. List &amp; Calc'!M259="", "", "✓")</f>
        <v/>
      </c>
      <c r="AD234" s="451"/>
      <c r="AE234" s="451"/>
    </row>
    <row r="235" spans="2:31" ht="20.100000000000001" customHeight="1" x14ac:dyDescent="0.25">
      <c r="B235" s="359" t="str">
        <f>IF('5. Initiative List'!C39="", "", '5. Initiative List'!B39)</f>
        <v/>
      </c>
      <c r="C235" s="447" t="str">
        <f>IF('5. Initiative List'!C39="", "", '5. Initiative List'!C39)</f>
        <v/>
      </c>
      <c r="D235" s="447"/>
      <c r="E235" s="447"/>
      <c r="F235" s="447"/>
      <c r="G235" s="447"/>
      <c r="H235" s="447"/>
      <c r="I235" s="447"/>
      <c r="J235" s="447"/>
      <c r="K235" s="447"/>
      <c r="L235" s="447"/>
      <c r="M235" s="447"/>
      <c r="N235" s="452" t="str">
        <f>IF('9. List &amp; Calc'!H260="", "", "✓")</f>
        <v/>
      </c>
      <c r="O235" s="452"/>
      <c r="P235" s="452"/>
      <c r="Q235" s="452" t="str">
        <f>IF('9. List &amp; Calc'!I260="", "", "✓")</f>
        <v/>
      </c>
      <c r="R235" s="452"/>
      <c r="S235" s="452"/>
      <c r="T235" s="452" t="str">
        <f>IF('9. List &amp; Calc'!J260="", "", "✓")</f>
        <v/>
      </c>
      <c r="U235" s="452"/>
      <c r="V235" s="452"/>
      <c r="W235" s="452" t="str">
        <f>IF('9. List &amp; Calc'!K260="", "", "✓")</f>
        <v/>
      </c>
      <c r="X235" s="452"/>
      <c r="Y235" s="452"/>
      <c r="Z235" s="452" t="str">
        <f>IF('9. List &amp; Calc'!L260="", "", "✓")</f>
        <v/>
      </c>
      <c r="AA235" s="452"/>
      <c r="AB235" s="452"/>
      <c r="AC235" s="452" t="str">
        <f>IF('9. List &amp; Calc'!M260="", "", "✓")</f>
        <v/>
      </c>
      <c r="AD235" s="452"/>
      <c r="AE235" s="452"/>
    </row>
    <row r="236" spans="2:31" ht="20.100000000000001" customHeight="1" x14ac:dyDescent="0.25">
      <c r="B236" s="360" t="str">
        <f>IF('5. Initiative List'!C40="", "", '5. Initiative List'!B40)</f>
        <v/>
      </c>
      <c r="C236" s="446" t="str">
        <f>IF('5. Initiative List'!C40="", "", '5. Initiative List'!C40)</f>
        <v/>
      </c>
      <c r="D236" s="446"/>
      <c r="E236" s="446"/>
      <c r="F236" s="446"/>
      <c r="G236" s="446"/>
      <c r="H236" s="446"/>
      <c r="I236" s="446"/>
      <c r="J236" s="446"/>
      <c r="K236" s="446"/>
      <c r="L236" s="446"/>
      <c r="M236" s="446"/>
      <c r="N236" s="451" t="str">
        <f>IF('9. List &amp; Calc'!H261="", "", "✓")</f>
        <v/>
      </c>
      <c r="O236" s="451"/>
      <c r="P236" s="451"/>
      <c r="Q236" s="451" t="str">
        <f>IF('9. List &amp; Calc'!I261="", "", "✓")</f>
        <v/>
      </c>
      <c r="R236" s="451"/>
      <c r="S236" s="451"/>
      <c r="T236" s="451" t="str">
        <f>IF('9. List &amp; Calc'!J261="", "", "✓")</f>
        <v/>
      </c>
      <c r="U236" s="451"/>
      <c r="V236" s="451"/>
      <c r="W236" s="451" t="str">
        <f>IF('9. List &amp; Calc'!K261="", "", "✓")</f>
        <v/>
      </c>
      <c r="X236" s="451"/>
      <c r="Y236" s="451"/>
      <c r="Z236" s="451" t="str">
        <f>IF('9. List &amp; Calc'!L261="", "", "✓")</f>
        <v/>
      </c>
      <c r="AA236" s="451"/>
      <c r="AB236" s="451"/>
      <c r="AC236" s="451" t="str">
        <f>IF('9. List &amp; Calc'!M261="", "", "✓")</f>
        <v/>
      </c>
      <c r="AD236" s="451"/>
      <c r="AE236" s="451"/>
    </row>
    <row r="237" spans="2:31" ht="20.100000000000001" customHeight="1" x14ac:dyDescent="0.25">
      <c r="B237" s="359" t="str">
        <f>IF('5. Initiative List'!C41="", "", '5. Initiative List'!B41)</f>
        <v/>
      </c>
      <c r="C237" s="447" t="str">
        <f>IF('5. Initiative List'!C41="", "", '5. Initiative List'!C41)</f>
        <v/>
      </c>
      <c r="D237" s="447"/>
      <c r="E237" s="447"/>
      <c r="F237" s="447"/>
      <c r="G237" s="447"/>
      <c r="H237" s="447"/>
      <c r="I237" s="447"/>
      <c r="J237" s="447"/>
      <c r="K237" s="447"/>
      <c r="L237" s="447"/>
      <c r="M237" s="447"/>
      <c r="N237" s="452" t="str">
        <f>IF('9. List &amp; Calc'!H262="", "", "✓")</f>
        <v/>
      </c>
      <c r="O237" s="452"/>
      <c r="P237" s="452"/>
      <c r="Q237" s="452" t="str">
        <f>IF('9. List &amp; Calc'!I262="", "", "✓")</f>
        <v/>
      </c>
      <c r="R237" s="452"/>
      <c r="S237" s="452"/>
      <c r="T237" s="452" t="str">
        <f>IF('9. List &amp; Calc'!J262="", "", "✓")</f>
        <v/>
      </c>
      <c r="U237" s="452"/>
      <c r="V237" s="452"/>
      <c r="W237" s="452" t="str">
        <f>IF('9. List &amp; Calc'!K262="", "", "✓")</f>
        <v/>
      </c>
      <c r="X237" s="452"/>
      <c r="Y237" s="452"/>
      <c r="Z237" s="452" t="str">
        <f>IF('9. List &amp; Calc'!L262="", "", "✓")</f>
        <v/>
      </c>
      <c r="AA237" s="452"/>
      <c r="AB237" s="452"/>
      <c r="AC237" s="452" t="str">
        <f>IF('9. List &amp; Calc'!M262="", "", "✓")</f>
        <v/>
      </c>
      <c r="AD237" s="452"/>
      <c r="AE237" s="452"/>
    </row>
    <row r="238" spans="2:31" ht="20.100000000000001" customHeight="1" x14ac:dyDescent="0.25">
      <c r="B238" s="360" t="str">
        <f>IF('5. Initiative List'!C42="", "", '5. Initiative List'!B42)</f>
        <v/>
      </c>
      <c r="C238" s="446" t="str">
        <f>IF('5. Initiative List'!C42="", "", '5. Initiative List'!C42)</f>
        <v/>
      </c>
      <c r="D238" s="446"/>
      <c r="E238" s="446"/>
      <c r="F238" s="446"/>
      <c r="G238" s="446"/>
      <c r="H238" s="446"/>
      <c r="I238" s="446"/>
      <c r="J238" s="446"/>
      <c r="K238" s="446"/>
      <c r="L238" s="446"/>
      <c r="M238" s="446"/>
      <c r="N238" s="451" t="str">
        <f>IF('9. List &amp; Calc'!H263="", "", "✓")</f>
        <v/>
      </c>
      <c r="O238" s="451"/>
      <c r="P238" s="451"/>
      <c r="Q238" s="451" t="str">
        <f>IF('9. List &amp; Calc'!I263="", "", "✓")</f>
        <v/>
      </c>
      <c r="R238" s="451"/>
      <c r="S238" s="451"/>
      <c r="T238" s="451" t="str">
        <f>IF('9. List &amp; Calc'!J263="", "", "✓")</f>
        <v/>
      </c>
      <c r="U238" s="451"/>
      <c r="V238" s="451"/>
      <c r="W238" s="451" t="str">
        <f>IF('9. List &amp; Calc'!K263="", "", "✓")</f>
        <v/>
      </c>
      <c r="X238" s="451"/>
      <c r="Y238" s="451"/>
      <c r="Z238" s="451" t="str">
        <f>IF('9. List &amp; Calc'!L263="", "", "✓")</f>
        <v/>
      </c>
      <c r="AA238" s="451"/>
      <c r="AB238" s="451"/>
      <c r="AC238" s="451" t="str">
        <f>IF('9. List &amp; Calc'!M263="", "", "✓")</f>
        <v/>
      </c>
      <c r="AD238" s="451"/>
      <c r="AE238" s="451"/>
    </row>
    <row r="239" spans="2:31" ht="20.100000000000001" customHeight="1" x14ac:dyDescent="0.25">
      <c r="B239" s="359" t="str">
        <f>IF('5. Initiative List'!C43="", "", '5. Initiative List'!B43)</f>
        <v/>
      </c>
      <c r="C239" s="447" t="str">
        <f>IF('5. Initiative List'!C43="", "", '5. Initiative List'!C43)</f>
        <v/>
      </c>
      <c r="D239" s="447"/>
      <c r="E239" s="447"/>
      <c r="F239" s="447"/>
      <c r="G239" s="447"/>
      <c r="H239" s="447"/>
      <c r="I239" s="447"/>
      <c r="J239" s="447"/>
      <c r="K239" s="447"/>
      <c r="L239" s="447"/>
      <c r="M239" s="447"/>
      <c r="N239" s="452" t="str">
        <f>IF('9. List &amp; Calc'!H264="", "", "✓")</f>
        <v/>
      </c>
      <c r="O239" s="452"/>
      <c r="P239" s="452"/>
      <c r="Q239" s="452" t="str">
        <f>IF('9. List &amp; Calc'!I264="", "", "✓")</f>
        <v/>
      </c>
      <c r="R239" s="452"/>
      <c r="S239" s="452"/>
      <c r="T239" s="452" t="str">
        <f>IF('9. List &amp; Calc'!J264="", "", "✓")</f>
        <v/>
      </c>
      <c r="U239" s="452"/>
      <c r="V239" s="452"/>
      <c r="W239" s="452" t="str">
        <f>IF('9. List &amp; Calc'!K264="", "", "✓")</f>
        <v/>
      </c>
      <c r="X239" s="452"/>
      <c r="Y239" s="452"/>
      <c r="Z239" s="452" t="str">
        <f>IF('9. List &amp; Calc'!L264="", "", "✓")</f>
        <v/>
      </c>
      <c r="AA239" s="452"/>
      <c r="AB239" s="452"/>
      <c r="AC239" s="452" t="str">
        <f>IF('9. List &amp; Calc'!M264="", "", "✓")</f>
        <v/>
      </c>
      <c r="AD239" s="452"/>
      <c r="AE239" s="452"/>
    </row>
    <row r="240" spans="2:31" ht="20.100000000000001" customHeight="1" x14ac:dyDescent="0.25">
      <c r="B240" s="360" t="str">
        <f>IF('5. Initiative List'!C44="", "", '5. Initiative List'!B44)</f>
        <v/>
      </c>
      <c r="C240" s="446" t="str">
        <f>IF('5. Initiative List'!C44="", "", '5. Initiative List'!C44)</f>
        <v/>
      </c>
      <c r="D240" s="446"/>
      <c r="E240" s="446"/>
      <c r="F240" s="446"/>
      <c r="G240" s="446"/>
      <c r="H240" s="446"/>
      <c r="I240" s="446"/>
      <c r="J240" s="446"/>
      <c r="K240" s="446"/>
      <c r="L240" s="446"/>
      <c r="M240" s="446"/>
      <c r="N240" s="451" t="str">
        <f>IF('9. List &amp; Calc'!H265="", "", "✓")</f>
        <v/>
      </c>
      <c r="O240" s="451"/>
      <c r="P240" s="451"/>
      <c r="Q240" s="451" t="str">
        <f>IF('9. List &amp; Calc'!I265="", "", "✓")</f>
        <v/>
      </c>
      <c r="R240" s="451"/>
      <c r="S240" s="451"/>
      <c r="T240" s="451" t="str">
        <f>IF('9. List &amp; Calc'!J265="", "", "✓")</f>
        <v/>
      </c>
      <c r="U240" s="451"/>
      <c r="V240" s="451"/>
      <c r="W240" s="451" t="str">
        <f>IF('9. List &amp; Calc'!K265="", "", "✓")</f>
        <v/>
      </c>
      <c r="X240" s="451"/>
      <c r="Y240" s="451"/>
      <c r="Z240" s="451" t="str">
        <f>IF('9. List &amp; Calc'!L265="", "", "✓")</f>
        <v/>
      </c>
      <c r="AA240" s="451"/>
      <c r="AB240" s="451"/>
      <c r="AC240" s="451" t="str">
        <f>IF('9. List &amp; Calc'!M265="", "", "✓")</f>
        <v/>
      </c>
      <c r="AD240" s="451"/>
      <c r="AE240" s="451"/>
    </row>
    <row r="241" spans="2:31" ht="20.100000000000001" customHeight="1" x14ac:dyDescent="0.25">
      <c r="B241" s="359" t="str">
        <f>IF('5. Initiative List'!C45="", "", '5. Initiative List'!B45)</f>
        <v/>
      </c>
      <c r="C241" s="447" t="str">
        <f>IF('5. Initiative List'!C45="", "", '5. Initiative List'!C45)</f>
        <v/>
      </c>
      <c r="D241" s="447"/>
      <c r="E241" s="447"/>
      <c r="F241" s="447"/>
      <c r="G241" s="447"/>
      <c r="H241" s="447"/>
      <c r="I241" s="447"/>
      <c r="J241" s="447"/>
      <c r="K241" s="447"/>
      <c r="L241" s="447"/>
      <c r="M241" s="447"/>
      <c r="N241" s="452" t="str">
        <f>IF('9. List &amp; Calc'!H266="", "", "✓")</f>
        <v/>
      </c>
      <c r="O241" s="452"/>
      <c r="P241" s="452"/>
      <c r="Q241" s="452" t="str">
        <f>IF('9. List &amp; Calc'!I266="", "", "✓")</f>
        <v/>
      </c>
      <c r="R241" s="452"/>
      <c r="S241" s="452"/>
      <c r="T241" s="452" t="str">
        <f>IF('9. List &amp; Calc'!J266="", "", "✓")</f>
        <v/>
      </c>
      <c r="U241" s="452"/>
      <c r="V241" s="452"/>
      <c r="W241" s="452" t="str">
        <f>IF('9. List &amp; Calc'!K266="", "", "✓")</f>
        <v/>
      </c>
      <c r="X241" s="452"/>
      <c r="Y241" s="452"/>
      <c r="Z241" s="452" t="str">
        <f>IF('9. List &amp; Calc'!L266="", "", "✓")</f>
        <v/>
      </c>
      <c r="AA241" s="452"/>
      <c r="AB241" s="452"/>
      <c r="AC241" s="452" t="str">
        <f>IF('9. List &amp; Calc'!M266="", "", "✓")</f>
        <v/>
      </c>
      <c r="AD241" s="452"/>
      <c r="AE241" s="452"/>
    </row>
  </sheetData>
  <mergeCells count="414">
    <mergeCell ref="B2:AM2"/>
    <mergeCell ref="B3:AG3"/>
    <mergeCell ref="B30:AM30"/>
    <mergeCell ref="B32:AM32"/>
    <mergeCell ref="F28:G28"/>
    <mergeCell ref="V13:Y14"/>
    <mergeCell ref="AA13:AG14"/>
    <mergeCell ref="AH13:AM14"/>
    <mergeCell ref="B15:D16"/>
    <mergeCell ref="E15:I16"/>
    <mergeCell ref="J15:M16"/>
    <mergeCell ref="N15:Q16"/>
    <mergeCell ref="R15:U16"/>
    <mergeCell ref="V15:Y16"/>
    <mergeCell ref="B17:D18"/>
    <mergeCell ref="E17:I18"/>
    <mergeCell ref="J17:M18"/>
    <mergeCell ref="N17:Q18"/>
    <mergeCell ref="Y28:Z28"/>
    <mergeCell ref="V21:Y22"/>
    <mergeCell ref="B24:AM26"/>
    <mergeCell ref="U28:X28"/>
    <mergeCell ref="AA28:AJ28"/>
    <mergeCell ref="H28:Q28"/>
    <mergeCell ref="B13:D14"/>
    <mergeCell ref="E13:I14"/>
    <mergeCell ref="J13:M14"/>
    <mergeCell ref="N13:Q14"/>
    <mergeCell ref="R13:U14"/>
    <mergeCell ref="AA15:AG16"/>
    <mergeCell ref="AH15:AM16"/>
    <mergeCell ref="B19:D20"/>
    <mergeCell ref="E19:I20"/>
    <mergeCell ref="J19:M20"/>
    <mergeCell ref="N19:Q20"/>
    <mergeCell ref="R19:U20"/>
    <mergeCell ref="V19:Y20"/>
    <mergeCell ref="R17:U18"/>
    <mergeCell ref="V17:Y18"/>
    <mergeCell ref="B5:AM7"/>
    <mergeCell ref="J9:Q10"/>
    <mergeCell ref="R9:Y10"/>
    <mergeCell ref="B11:D12"/>
    <mergeCell ref="E11:I12"/>
    <mergeCell ref="J11:M12"/>
    <mergeCell ref="N11:Q12"/>
    <mergeCell ref="R11:U12"/>
    <mergeCell ref="V11:Y12"/>
    <mergeCell ref="AA11:AM12"/>
    <mergeCell ref="B21:D22"/>
    <mergeCell ref="E21:I22"/>
    <mergeCell ref="J21:M22"/>
    <mergeCell ref="N21:Q22"/>
    <mergeCell ref="R21:U22"/>
    <mergeCell ref="D186:F186"/>
    <mergeCell ref="B178:AM178"/>
    <mergeCell ref="B183:C183"/>
    <mergeCell ref="D183:F183"/>
    <mergeCell ref="G183:H183"/>
    <mergeCell ref="I183:P183"/>
    <mergeCell ref="Q183:U183"/>
    <mergeCell ref="V183:Z183"/>
    <mergeCell ref="AA183:AB183"/>
    <mergeCell ref="B28:E28"/>
    <mergeCell ref="Q184:U184"/>
    <mergeCell ref="Q185:U185"/>
    <mergeCell ref="Q186:U186"/>
    <mergeCell ref="B75:AU75"/>
    <mergeCell ref="B188:C188"/>
    <mergeCell ref="D184:F184"/>
    <mergeCell ref="D185:F185"/>
    <mergeCell ref="D187:F187"/>
    <mergeCell ref="D188:F188"/>
    <mergeCell ref="B184:C184"/>
    <mergeCell ref="B185:C185"/>
    <mergeCell ref="B186:C186"/>
    <mergeCell ref="B187:C187"/>
    <mergeCell ref="Q187:U187"/>
    <mergeCell ref="Q188:U188"/>
    <mergeCell ref="G184:H184"/>
    <mergeCell ref="G185:H185"/>
    <mergeCell ref="G186:H186"/>
    <mergeCell ref="G187:H187"/>
    <mergeCell ref="G188:H188"/>
    <mergeCell ref="AA184:AB184"/>
    <mergeCell ref="AA185:AB185"/>
    <mergeCell ref="AA186:AB186"/>
    <mergeCell ref="AA187:AB187"/>
    <mergeCell ref="AA188:AB188"/>
    <mergeCell ref="V184:Z184"/>
    <mergeCell ref="V185:Z185"/>
    <mergeCell ref="V186:Z186"/>
    <mergeCell ref="V187:Z187"/>
    <mergeCell ref="V188:Z188"/>
    <mergeCell ref="B189:C189"/>
    <mergeCell ref="B190:C190"/>
    <mergeCell ref="B191:C191"/>
    <mergeCell ref="B192:C192"/>
    <mergeCell ref="D191:F191"/>
    <mergeCell ref="G191:H191"/>
    <mergeCell ref="Q191:U191"/>
    <mergeCell ref="V191:Z191"/>
    <mergeCell ref="AA191:AB191"/>
    <mergeCell ref="D190:F190"/>
    <mergeCell ref="G190:H190"/>
    <mergeCell ref="Q190:U190"/>
    <mergeCell ref="V190:Z190"/>
    <mergeCell ref="AA190:AB190"/>
    <mergeCell ref="D192:F192"/>
    <mergeCell ref="G192:H192"/>
    <mergeCell ref="Q192:U192"/>
    <mergeCell ref="V192:Z192"/>
    <mergeCell ref="AA192:AB192"/>
    <mergeCell ref="D189:F189"/>
    <mergeCell ref="G189:H189"/>
    <mergeCell ref="Q189:U189"/>
    <mergeCell ref="V189:Z189"/>
    <mergeCell ref="AA189:AB189"/>
    <mergeCell ref="Q226:S226"/>
    <mergeCell ref="Q227:S227"/>
    <mergeCell ref="Q228:S228"/>
    <mergeCell ref="B197:AM197"/>
    <mergeCell ref="D193:F193"/>
    <mergeCell ref="G193:H193"/>
    <mergeCell ref="Q193:U193"/>
    <mergeCell ref="V193:Z193"/>
    <mergeCell ref="AA193:AB193"/>
    <mergeCell ref="B193:C193"/>
    <mergeCell ref="AC201:AE201"/>
    <mergeCell ref="N200:V200"/>
    <mergeCell ref="N219:P219"/>
    <mergeCell ref="N220:P220"/>
    <mergeCell ref="N221:P221"/>
    <mergeCell ref="N222:P222"/>
    <mergeCell ref="N223:P223"/>
    <mergeCell ref="N224:P224"/>
    <mergeCell ref="N225:P225"/>
    <mergeCell ref="N226:P226"/>
    <mergeCell ref="N227:P227"/>
    <mergeCell ref="N228:P228"/>
    <mergeCell ref="N210:P210"/>
    <mergeCell ref="N211:P211"/>
    <mergeCell ref="N232:P232"/>
    <mergeCell ref="N233:P233"/>
    <mergeCell ref="N234:P234"/>
    <mergeCell ref="N235:P235"/>
    <mergeCell ref="N236:P236"/>
    <mergeCell ref="N237:P237"/>
    <mergeCell ref="Q229:S229"/>
    <mergeCell ref="Q230:S230"/>
    <mergeCell ref="Q231:S231"/>
    <mergeCell ref="Q232:S232"/>
    <mergeCell ref="Q233:S233"/>
    <mergeCell ref="Q234:S234"/>
    <mergeCell ref="N229:P229"/>
    <mergeCell ref="N230:P230"/>
    <mergeCell ref="N231:P231"/>
    <mergeCell ref="Q235:S235"/>
    <mergeCell ref="Q236:S236"/>
    <mergeCell ref="Q237:S237"/>
    <mergeCell ref="N212:P212"/>
    <mergeCell ref="N213:P213"/>
    <mergeCell ref="N214:P214"/>
    <mergeCell ref="N215:P215"/>
    <mergeCell ref="N216:P216"/>
    <mergeCell ref="N217:P217"/>
    <mergeCell ref="N218:P218"/>
    <mergeCell ref="W200:AE200"/>
    <mergeCell ref="N202:P202"/>
    <mergeCell ref="N203:P203"/>
    <mergeCell ref="N204:P204"/>
    <mergeCell ref="N205:P205"/>
    <mergeCell ref="N206:P206"/>
    <mergeCell ref="N207:P207"/>
    <mergeCell ref="N208:P208"/>
    <mergeCell ref="N209:P209"/>
    <mergeCell ref="N201:P201"/>
    <mergeCell ref="Q201:S201"/>
    <mergeCell ref="T201:V201"/>
    <mergeCell ref="W201:Y201"/>
    <mergeCell ref="Z201:AB201"/>
    <mergeCell ref="AC202:AE202"/>
    <mergeCell ref="AC203:AE203"/>
    <mergeCell ref="AC204:AE204"/>
    <mergeCell ref="AC205:AE205"/>
    <mergeCell ref="AC206:AE206"/>
    <mergeCell ref="AC207:AE207"/>
    <mergeCell ref="AC208:AE208"/>
    <mergeCell ref="AC209:AE209"/>
    <mergeCell ref="N238:P238"/>
    <mergeCell ref="N239:P239"/>
    <mergeCell ref="N240:P240"/>
    <mergeCell ref="N241:P241"/>
    <mergeCell ref="Q211:S211"/>
    <mergeCell ref="Q212:S212"/>
    <mergeCell ref="Q213:S213"/>
    <mergeCell ref="Q214:S214"/>
    <mergeCell ref="Q215:S215"/>
    <mergeCell ref="Q216:S216"/>
    <mergeCell ref="Q217:S217"/>
    <mergeCell ref="Q218:S218"/>
    <mergeCell ref="Q219:S219"/>
    <mergeCell ref="Q220:S220"/>
    <mergeCell ref="Q221:S221"/>
    <mergeCell ref="T238:V238"/>
    <mergeCell ref="T239:V239"/>
    <mergeCell ref="T240:V240"/>
    <mergeCell ref="Q238:S238"/>
    <mergeCell ref="Q202:S202"/>
    <mergeCell ref="Q203:S203"/>
    <mergeCell ref="Q204:S204"/>
    <mergeCell ref="Q205:S205"/>
    <mergeCell ref="Q206:S206"/>
    <mergeCell ref="Q207:S207"/>
    <mergeCell ref="Q208:S208"/>
    <mergeCell ref="Q209:S209"/>
    <mergeCell ref="Q210:S210"/>
    <mergeCell ref="Q239:S239"/>
    <mergeCell ref="Q240:S240"/>
    <mergeCell ref="Q241:S241"/>
    <mergeCell ref="T202:V202"/>
    <mergeCell ref="T203:V203"/>
    <mergeCell ref="T204:V204"/>
    <mergeCell ref="T205:V205"/>
    <mergeCell ref="T206:V206"/>
    <mergeCell ref="T207:V207"/>
    <mergeCell ref="T208:V208"/>
    <mergeCell ref="T209:V209"/>
    <mergeCell ref="T210:V210"/>
    <mergeCell ref="T211:V211"/>
    <mergeCell ref="T212:V212"/>
    <mergeCell ref="T213:V213"/>
    <mergeCell ref="T214:V214"/>
    <mergeCell ref="T215:V215"/>
    <mergeCell ref="T216:V216"/>
    <mergeCell ref="T217:V217"/>
    <mergeCell ref="T218:V218"/>
    <mergeCell ref="T241:V241"/>
    <mergeCell ref="T237:V237"/>
    <mergeCell ref="T230:V230"/>
    <mergeCell ref="T231:V231"/>
    <mergeCell ref="W202:Y202"/>
    <mergeCell ref="W203:Y203"/>
    <mergeCell ref="W204:Y204"/>
    <mergeCell ref="W205:Y205"/>
    <mergeCell ref="W206:Y206"/>
    <mergeCell ref="W207:Y207"/>
    <mergeCell ref="W208:Y208"/>
    <mergeCell ref="W209:Y209"/>
    <mergeCell ref="W210:Y210"/>
    <mergeCell ref="W211:Y211"/>
    <mergeCell ref="W212:Y212"/>
    <mergeCell ref="W213:Y213"/>
    <mergeCell ref="W214:Y214"/>
    <mergeCell ref="W215:Y215"/>
    <mergeCell ref="W216:Y216"/>
    <mergeCell ref="W217:Y217"/>
    <mergeCell ref="W218:Y218"/>
    <mergeCell ref="W219:Y219"/>
    <mergeCell ref="W220:Y220"/>
    <mergeCell ref="T228:V228"/>
    <mergeCell ref="W222:Y222"/>
    <mergeCell ref="W223:Y223"/>
    <mergeCell ref="W224:Y224"/>
    <mergeCell ref="W226:Y226"/>
    <mergeCell ref="W227:Y227"/>
    <mergeCell ref="W228:Y228"/>
    <mergeCell ref="W229:Y229"/>
    <mergeCell ref="T229:V229"/>
    <mergeCell ref="T232:V232"/>
    <mergeCell ref="T233:V233"/>
    <mergeCell ref="T234:V234"/>
    <mergeCell ref="T235:V235"/>
    <mergeCell ref="T236:V236"/>
    <mergeCell ref="W230:Y230"/>
    <mergeCell ref="W231:Y231"/>
    <mergeCell ref="W232:Y232"/>
    <mergeCell ref="W233:Y233"/>
    <mergeCell ref="W234:Y234"/>
    <mergeCell ref="W235:Y235"/>
    <mergeCell ref="W236:Y236"/>
    <mergeCell ref="W237:Y237"/>
    <mergeCell ref="T226:V226"/>
    <mergeCell ref="T227:V227"/>
    <mergeCell ref="W238:Y238"/>
    <mergeCell ref="W239:Y239"/>
    <mergeCell ref="W240:Y240"/>
    <mergeCell ref="W241:Y241"/>
    <mergeCell ref="Z202:AB202"/>
    <mergeCell ref="Z203:AB203"/>
    <mergeCell ref="Z204:AB204"/>
    <mergeCell ref="Z205:AB205"/>
    <mergeCell ref="Z206:AB206"/>
    <mergeCell ref="Z207:AB207"/>
    <mergeCell ref="Z208:AB208"/>
    <mergeCell ref="Z209:AB209"/>
    <mergeCell ref="Z210:AB210"/>
    <mergeCell ref="Z211:AB211"/>
    <mergeCell ref="Z212:AB212"/>
    <mergeCell ref="Z213:AB213"/>
    <mergeCell ref="Z214:AB214"/>
    <mergeCell ref="Z215:AB215"/>
    <mergeCell ref="Z216:AB216"/>
    <mergeCell ref="Z217:AB217"/>
    <mergeCell ref="Z218:AB218"/>
    <mergeCell ref="Z220:AB220"/>
    <mergeCell ref="Z221:AB221"/>
    <mergeCell ref="Z239:AB239"/>
    <mergeCell ref="Z240:AB240"/>
    <mergeCell ref="Z223:AB223"/>
    <mergeCell ref="Z224:AB224"/>
    <mergeCell ref="Z225:AB225"/>
    <mergeCell ref="Z226:AB226"/>
    <mergeCell ref="Z227:AB227"/>
    <mergeCell ref="Z228:AB228"/>
    <mergeCell ref="Z229:AB229"/>
    <mergeCell ref="Z230:AB230"/>
    <mergeCell ref="Z231:AB231"/>
    <mergeCell ref="AC210:AE210"/>
    <mergeCell ref="C211:M211"/>
    <mergeCell ref="C212:M212"/>
    <mergeCell ref="C213:M213"/>
    <mergeCell ref="C214:M214"/>
    <mergeCell ref="C215:M215"/>
    <mergeCell ref="C216:M216"/>
    <mergeCell ref="C217:M217"/>
    <mergeCell ref="AC225:AE225"/>
    <mergeCell ref="W221:Y221"/>
    <mergeCell ref="Z222:AB222"/>
    <mergeCell ref="W225:Y225"/>
    <mergeCell ref="T222:V222"/>
    <mergeCell ref="T223:V223"/>
    <mergeCell ref="T224:V224"/>
    <mergeCell ref="T225:V225"/>
    <mergeCell ref="T219:V219"/>
    <mergeCell ref="T220:V220"/>
    <mergeCell ref="T221:V221"/>
    <mergeCell ref="Q222:S222"/>
    <mergeCell ref="Q223:S223"/>
    <mergeCell ref="Q224:S224"/>
    <mergeCell ref="Q225:S225"/>
    <mergeCell ref="Z219:AB219"/>
    <mergeCell ref="AC226:AE226"/>
    <mergeCell ref="AC211:AE211"/>
    <mergeCell ref="AC212:AE212"/>
    <mergeCell ref="AC213:AE213"/>
    <mergeCell ref="AC214:AE214"/>
    <mergeCell ref="AC215:AE215"/>
    <mergeCell ref="AC216:AE216"/>
    <mergeCell ref="AC217:AE217"/>
    <mergeCell ref="AC218:AE218"/>
    <mergeCell ref="AC219:AE219"/>
    <mergeCell ref="AC220:AE220"/>
    <mergeCell ref="AC221:AE221"/>
    <mergeCell ref="AC222:AE222"/>
    <mergeCell ref="AC223:AE223"/>
    <mergeCell ref="AC224:AE224"/>
    <mergeCell ref="C202:M202"/>
    <mergeCell ref="C203:M203"/>
    <mergeCell ref="C204:M204"/>
    <mergeCell ref="C205:M205"/>
    <mergeCell ref="C206:M206"/>
    <mergeCell ref="C207:M207"/>
    <mergeCell ref="C208:M208"/>
    <mergeCell ref="C209:M209"/>
    <mergeCell ref="C210:M210"/>
    <mergeCell ref="C226:M226"/>
    <mergeCell ref="AC234:AE234"/>
    <mergeCell ref="AC235:AE235"/>
    <mergeCell ref="AC236:AE236"/>
    <mergeCell ref="AC237:AE237"/>
    <mergeCell ref="AC238:AE238"/>
    <mergeCell ref="AC239:AE239"/>
    <mergeCell ref="AC240:AE240"/>
    <mergeCell ref="AC241:AE241"/>
    <mergeCell ref="AC227:AE227"/>
    <mergeCell ref="AC228:AE228"/>
    <mergeCell ref="AC229:AE229"/>
    <mergeCell ref="AC230:AE230"/>
    <mergeCell ref="AC231:AE231"/>
    <mergeCell ref="AC232:AE232"/>
    <mergeCell ref="AC233:AE233"/>
    <mergeCell ref="Z241:AB241"/>
    <mergeCell ref="Z232:AB232"/>
    <mergeCell ref="Z233:AB233"/>
    <mergeCell ref="Z234:AB234"/>
    <mergeCell ref="Z235:AB235"/>
    <mergeCell ref="Z236:AB236"/>
    <mergeCell ref="Z237:AB237"/>
    <mergeCell ref="Z238:AB238"/>
    <mergeCell ref="C236:M236"/>
    <mergeCell ref="C237:M237"/>
    <mergeCell ref="C238:M238"/>
    <mergeCell ref="C239:M239"/>
    <mergeCell ref="C240:M240"/>
    <mergeCell ref="C241:M241"/>
    <mergeCell ref="C201:M201"/>
    <mergeCell ref="C227:M227"/>
    <mergeCell ref="C228:M228"/>
    <mergeCell ref="C229:M229"/>
    <mergeCell ref="C230:M230"/>
    <mergeCell ref="C231:M231"/>
    <mergeCell ref="C232:M232"/>
    <mergeCell ref="C233:M233"/>
    <mergeCell ref="C234:M234"/>
    <mergeCell ref="C235:M235"/>
    <mergeCell ref="C218:M218"/>
    <mergeCell ref="C219:M219"/>
    <mergeCell ref="C220:M220"/>
    <mergeCell ref="C221:M221"/>
    <mergeCell ref="C222:M222"/>
    <mergeCell ref="C223:M223"/>
    <mergeCell ref="C224:M224"/>
    <mergeCell ref="C225:M225"/>
  </mergeCells>
  <conditionalFormatting sqref="B202:AE241">
    <cfRule type="expression" dxfId="0" priority="1">
      <formula>$B202=""</formula>
    </cfRule>
  </conditionalFormatting>
  <pageMargins left="0.7" right="0.7" top="0.75" bottom="0.75" header="0.3" footer="0.3"/>
  <pageSetup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BE213-F378-4A0F-844D-5DC778C9FA0B}">
  <sheetPr>
    <tabColor rgb="FFFFC000"/>
  </sheetPr>
  <dimension ref="B2:Y266"/>
  <sheetViews>
    <sheetView topLeftCell="A175" zoomScaleNormal="100" workbookViewId="0">
      <selection activeCell="C233" sqref="C233"/>
    </sheetView>
  </sheetViews>
  <sheetFormatPr defaultRowHeight="14.25" x14ac:dyDescent="0.2"/>
  <cols>
    <col min="1" max="1" width="2.5" customWidth="1"/>
    <col min="2" max="2" width="42.875" bestFit="1" customWidth="1"/>
    <col min="3" max="4" width="18.75" bestFit="1" customWidth="1"/>
    <col min="5" max="5" width="15.875" customWidth="1"/>
    <col min="6" max="6" width="23" customWidth="1"/>
    <col min="7" max="7" width="36.25" customWidth="1"/>
    <col min="8" max="8" width="43.5" customWidth="1"/>
    <col min="9" max="9" width="32.875" customWidth="1"/>
    <col min="10" max="10" width="39" customWidth="1"/>
    <col min="11" max="11" width="43.125" customWidth="1"/>
    <col min="12" max="12" width="31.625" customWidth="1"/>
    <col min="13" max="13" width="36.375" customWidth="1"/>
    <col min="14" max="14" width="26.5" customWidth="1"/>
    <col min="15" max="15" width="29.75" customWidth="1"/>
    <col min="16" max="16" width="43.25" customWidth="1"/>
    <col min="17" max="17" width="24.875" customWidth="1"/>
    <col min="18" max="19" width="32.75" customWidth="1"/>
    <col min="20" max="20" width="25.375" customWidth="1"/>
    <col min="21" max="21" width="55.375" customWidth="1"/>
    <col min="22" max="22" width="29" customWidth="1"/>
    <col min="23" max="25" width="31.75" customWidth="1"/>
    <col min="26" max="26" width="23.5" customWidth="1"/>
  </cols>
  <sheetData>
    <row r="2" spans="2:25" ht="23.25" x14ac:dyDescent="0.2">
      <c r="B2" s="246" t="s">
        <v>498</v>
      </c>
      <c r="C2" s="42"/>
      <c r="D2" s="42"/>
      <c r="E2" s="42"/>
      <c r="F2" s="42"/>
      <c r="G2" s="42"/>
      <c r="H2" s="42"/>
      <c r="I2" s="42"/>
      <c r="J2" s="42"/>
      <c r="K2" s="42"/>
      <c r="L2" s="42"/>
      <c r="M2" s="42"/>
      <c r="N2" s="42"/>
      <c r="O2" s="42"/>
      <c r="P2" s="42"/>
      <c r="Q2" s="42"/>
      <c r="R2" s="42"/>
      <c r="S2" s="42"/>
      <c r="T2" s="42"/>
      <c r="U2" s="42"/>
      <c r="V2" s="42"/>
      <c r="X2" s="42"/>
      <c r="Y2" s="42"/>
    </row>
    <row r="4" spans="2:25" ht="15" thickBot="1" x14ac:dyDescent="0.25"/>
    <row r="5" spans="2:25" ht="15" thickBot="1" x14ac:dyDescent="0.25">
      <c r="B5" s="73" t="s">
        <v>65</v>
      </c>
      <c r="C5" s="243" t="s">
        <v>499</v>
      </c>
      <c r="D5" s="73" t="s">
        <v>43</v>
      </c>
    </row>
    <row r="6" spans="2:25" ht="99.75" x14ac:dyDescent="0.2">
      <c r="B6" t="s">
        <v>82</v>
      </c>
      <c r="C6" s="244">
        <v>1</v>
      </c>
      <c r="D6" s="3" t="s">
        <v>500</v>
      </c>
    </row>
    <row r="7" spans="2:25" ht="114" x14ac:dyDescent="0.2">
      <c r="B7" t="s">
        <v>83</v>
      </c>
      <c r="C7" s="244">
        <v>2</v>
      </c>
      <c r="D7" s="3" t="s">
        <v>71</v>
      </c>
    </row>
    <row r="8" spans="2:25" ht="128.25" x14ac:dyDescent="0.2">
      <c r="B8" t="s">
        <v>84</v>
      </c>
      <c r="C8" s="244">
        <v>3</v>
      </c>
      <c r="D8" s="3" t="s">
        <v>74</v>
      </c>
    </row>
    <row r="9" spans="2:25" ht="47.1" customHeight="1" x14ac:dyDescent="0.2">
      <c r="B9" t="s">
        <v>85</v>
      </c>
      <c r="C9" s="244">
        <v>4</v>
      </c>
      <c r="D9" s="3" t="s">
        <v>501</v>
      </c>
    </row>
    <row r="10" spans="2:25" ht="171" x14ac:dyDescent="0.2">
      <c r="B10" t="s">
        <v>86</v>
      </c>
      <c r="C10" s="244">
        <v>5</v>
      </c>
      <c r="D10" s="3" t="s">
        <v>502</v>
      </c>
    </row>
    <row r="11" spans="2:25" ht="15" thickBot="1" x14ac:dyDescent="0.25">
      <c r="B11" s="72" t="s">
        <v>122</v>
      </c>
      <c r="C11" s="245">
        <v>0</v>
      </c>
      <c r="D11" s="178" t="s">
        <v>503</v>
      </c>
    </row>
    <row r="12" spans="2:25" x14ac:dyDescent="0.2">
      <c r="C12" s="244"/>
    </row>
    <row r="13" spans="2:25" ht="15" thickBot="1" x14ac:dyDescent="0.25">
      <c r="I13" s="622"/>
      <c r="J13" s="9"/>
    </row>
    <row r="14" spans="2:25" ht="26.25" thickBot="1" x14ac:dyDescent="0.25">
      <c r="B14" s="250" t="s">
        <v>81</v>
      </c>
      <c r="C14" s="250" t="s">
        <v>497</v>
      </c>
      <c r="D14" s="250" t="s">
        <v>43</v>
      </c>
      <c r="I14" s="622"/>
      <c r="J14" s="9"/>
    </row>
    <row r="15" spans="2:25" ht="53.25" customHeight="1" x14ac:dyDescent="0.2">
      <c r="B15" s="74">
        <v>1</v>
      </c>
      <c r="C15" s="12" t="s">
        <v>504</v>
      </c>
      <c r="D15" s="12" t="s">
        <v>505</v>
      </c>
      <c r="I15" s="11"/>
      <c r="J15" s="9"/>
    </row>
    <row r="16" spans="2:25" ht="71.25" x14ac:dyDescent="0.2">
      <c r="B16" s="74">
        <v>2</v>
      </c>
      <c r="C16" s="12" t="s">
        <v>506</v>
      </c>
      <c r="D16" s="12" t="s">
        <v>507</v>
      </c>
    </row>
    <row r="17" spans="2:9" ht="114" x14ac:dyDescent="0.2">
      <c r="B17" s="74">
        <v>3</v>
      </c>
      <c r="C17" s="12" t="s">
        <v>508</v>
      </c>
      <c r="D17" s="12" t="s">
        <v>509</v>
      </c>
    </row>
    <row r="18" spans="2:9" ht="79.5" customHeight="1" x14ac:dyDescent="0.2">
      <c r="B18" s="74">
        <v>4</v>
      </c>
      <c r="C18" s="12" t="s">
        <v>510</v>
      </c>
      <c r="D18" s="12" t="s">
        <v>511</v>
      </c>
    </row>
    <row r="19" spans="2:9" ht="85.5" x14ac:dyDescent="0.2">
      <c r="B19" s="74">
        <v>5</v>
      </c>
      <c r="C19" s="12" t="s">
        <v>512</v>
      </c>
      <c r="D19" s="12" t="s">
        <v>513</v>
      </c>
    </row>
    <row r="20" spans="2:9" ht="85.5" x14ac:dyDescent="0.2">
      <c r="B20" s="74">
        <v>6</v>
      </c>
      <c r="C20" s="12" t="s">
        <v>514</v>
      </c>
      <c r="D20" s="12" t="s">
        <v>515</v>
      </c>
    </row>
    <row r="21" spans="2:9" ht="85.5" x14ac:dyDescent="0.2">
      <c r="B21" s="74">
        <v>7</v>
      </c>
      <c r="C21" s="12" t="s">
        <v>516</v>
      </c>
      <c r="D21" s="12" t="s">
        <v>517</v>
      </c>
    </row>
    <row r="22" spans="2:9" ht="42" customHeight="1" x14ac:dyDescent="0.2">
      <c r="B22" s="74">
        <v>8</v>
      </c>
      <c r="C22" s="12" t="s">
        <v>518</v>
      </c>
      <c r="D22" s="12" t="s">
        <v>519</v>
      </c>
    </row>
    <row r="23" spans="2:9" ht="85.5" x14ac:dyDescent="0.2">
      <c r="B23" s="74">
        <v>9</v>
      </c>
      <c r="C23" s="12" t="s">
        <v>520</v>
      </c>
      <c r="D23" s="12" t="s">
        <v>521</v>
      </c>
    </row>
    <row r="24" spans="2:9" ht="15" x14ac:dyDescent="0.2">
      <c r="B24" s="74"/>
    </row>
    <row r="25" spans="2:9" ht="15" thickBot="1" x14ac:dyDescent="0.25"/>
    <row r="26" spans="2:9" ht="15" thickBot="1" x14ac:dyDescent="0.25">
      <c r="B26" s="73" t="s">
        <v>415</v>
      </c>
      <c r="C26" s="73" t="s">
        <v>46</v>
      </c>
      <c r="D26" s="73" t="s">
        <v>43</v>
      </c>
      <c r="I26" t="str">
        <f>IF(M76="High",I25&amp;": "&amp;D76&amp;" - "&amp;#REF!,IF(M76="Medium",J25&amp;": "&amp;D76&amp;" - "&amp;#REF!,IF(M76="Low",K25&amp;": "&amp;D76&amp;" - "&amp;#REF!,"")))</f>
        <v/>
      </c>
    </row>
    <row r="27" spans="2:9" ht="71.25" x14ac:dyDescent="0.2">
      <c r="B27" s="14">
        <v>1</v>
      </c>
      <c r="C27" s="3" t="s">
        <v>522</v>
      </c>
      <c r="D27" s="3" t="s">
        <v>523</v>
      </c>
      <c r="F27" s="12"/>
    </row>
    <row r="28" spans="2:9" ht="85.5" x14ac:dyDescent="0.2">
      <c r="B28" s="14">
        <v>2</v>
      </c>
      <c r="C28" s="3" t="s">
        <v>524</v>
      </c>
      <c r="D28" s="3" t="s">
        <v>525</v>
      </c>
      <c r="F28" s="12"/>
    </row>
    <row r="29" spans="2:9" ht="99.75" x14ac:dyDescent="0.2">
      <c r="B29" s="14">
        <v>3</v>
      </c>
      <c r="C29" s="3" t="s">
        <v>526</v>
      </c>
      <c r="D29" s="3" t="s">
        <v>527</v>
      </c>
      <c r="F29" s="12"/>
    </row>
    <row r="30" spans="2:9" ht="114" x14ac:dyDescent="0.2">
      <c r="B30" s="14">
        <v>4</v>
      </c>
      <c r="C30" s="3" t="s">
        <v>528</v>
      </c>
      <c r="D30" s="3" t="s">
        <v>529</v>
      </c>
      <c r="F30" s="12"/>
    </row>
    <row r="31" spans="2:9" ht="99.75" x14ac:dyDescent="0.2">
      <c r="B31" s="14">
        <v>5</v>
      </c>
      <c r="C31" s="3" t="s">
        <v>530</v>
      </c>
      <c r="D31" s="3" t="s">
        <v>531</v>
      </c>
      <c r="F31" s="12"/>
    </row>
    <row r="32" spans="2:9" ht="85.5" x14ac:dyDescent="0.2">
      <c r="B32" s="14">
        <v>6</v>
      </c>
      <c r="C32" s="3" t="s">
        <v>532</v>
      </c>
      <c r="D32" s="3" t="s">
        <v>533</v>
      </c>
      <c r="F32" s="12"/>
    </row>
    <row r="33" spans="2:6" ht="99.75" x14ac:dyDescent="0.2">
      <c r="B33" s="14">
        <v>7</v>
      </c>
      <c r="C33" s="3" t="s">
        <v>534</v>
      </c>
      <c r="D33" s="3" t="s">
        <v>535</v>
      </c>
      <c r="F33" s="12"/>
    </row>
    <row r="34" spans="2:6" ht="85.5" x14ac:dyDescent="0.2">
      <c r="B34" s="14">
        <v>8</v>
      </c>
      <c r="C34" s="3" t="s">
        <v>536</v>
      </c>
      <c r="D34" s="3" t="s">
        <v>537</v>
      </c>
    </row>
    <row r="35" spans="2:6" ht="85.5" x14ac:dyDescent="0.2">
      <c r="B35" s="14">
        <v>9</v>
      </c>
      <c r="C35" s="3" t="s">
        <v>538</v>
      </c>
      <c r="D35" s="3" t="s">
        <v>539</v>
      </c>
    </row>
    <row r="36" spans="2:6" ht="15" thickBot="1" x14ac:dyDescent="0.25"/>
    <row r="37" spans="2:6" ht="15" thickBot="1" x14ac:dyDescent="0.25">
      <c r="B37" s="73"/>
      <c r="C37" s="73" t="s">
        <v>50</v>
      </c>
      <c r="D37" s="73" t="s">
        <v>51</v>
      </c>
    </row>
    <row r="38" spans="2:6" ht="39.6" customHeight="1" x14ac:dyDescent="0.2">
      <c r="B38" s="14">
        <v>1</v>
      </c>
      <c r="C38" s="3" t="s">
        <v>540</v>
      </c>
      <c r="D38" s="3" t="s">
        <v>541</v>
      </c>
    </row>
    <row r="39" spans="2:6" ht="85.5" x14ac:dyDescent="0.2">
      <c r="B39" s="14">
        <v>2</v>
      </c>
      <c r="C39" s="3" t="s">
        <v>542</v>
      </c>
      <c r="D39" s="3" t="s">
        <v>543</v>
      </c>
    </row>
    <row r="40" spans="2:6" ht="85.5" x14ac:dyDescent="0.2">
      <c r="B40" s="14">
        <v>3</v>
      </c>
      <c r="C40" s="3" t="s">
        <v>544</v>
      </c>
      <c r="D40" s="3" t="s">
        <v>545</v>
      </c>
    </row>
    <row r="41" spans="2:6" ht="71.25" x14ac:dyDescent="0.2">
      <c r="B41" s="14">
        <v>4</v>
      </c>
      <c r="C41" s="3" t="s">
        <v>546</v>
      </c>
      <c r="D41" s="3" t="s">
        <v>547</v>
      </c>
    </row>
    <row r="42" spans="2:6" ht="71.25" x14ac:dyDescent="0.2">
      <c r="B42" s="14">
        <v>5</v>
      </c>
      <c r="C42" s="3" t="s">
        <v>548</v>
      </c>
      <c r="D42" s="3" t="s">
        <v>549</v>
      </c>
    </row>
    <row r="43" spans="2:6" ht="71.25" x14ac:dyDescent="0.2">
      <c r="B43" s="14">
        <v>6</v>
      </c>
      <c r="C43" s="3" t="s">
        <v>550</v>
      </c>
      <c r="D43" s="3" t="s">
        <v>551</v>
      </c>
    </row>
    <row r="44" spans="2:6" ht="85.5" x14ac:dyDescent="0.2">
      <c r="B44" s="14">
        <v>7</v>
      </c>
      <c r="C44" s="3" t="s">
        <v>552</v>
      </c>
      <c r="D44" s="3" t="s">
        <v>553</v>
      </c>
    </row>
    <row r="45" spans="2:6" ht="71.25" x14ac:dyDescent="0.2">
      <c r="B45" s="14">
        <v>8</v>
      </c>
      <c r="C45" s="3" t="s">
        <v>554</v>
      </c>
      <c r="D45" s="3" t="s">
        <v>555</v>
      </c>
    </row>
    <row r="46" spans="2:6" ht="71.25" x14ac:dyDescent="0.2">
      <c r="B46" s="14">
        <v>9</v>
      </c>
      <c r="C46" s="3" t="s">
        <v>556</v>
      </c>
      <c r="D46" s="3" t="s">
        <v>557</v>
      </c>
    </row>
    <row r="47" spans="2:6" ht="71.25" x14ac:dyDescent="0.2">
      <c r="B47" s="14">
        <v>10</v>
      </c>
      <c r="C47" s="3" t="s">
        <v>558</v>
      </c>
      <c r="D47" s="3" t="s">
        <v>559</v>
      </c>
    </row>
    <row r="48" spans="2:6" ht="57" x14ac:dyDescent="0.2">
      <c r="B48" s="14">
        <v>11</v>
      </c>
      <c r="C48" s="3" t="s">
        <v>560</v>
      </c>
      <c r="D48" s="3" t="s">
        <v>561</v>
      </c>
    </row>
    <row r="49" spans="2:15" ht="85.5" x14ac:dyDescent="0.2">
      <c r="B49" s="14">
        <v>12</v>
      </c>
      <c r="C49" s="3" t="s">
        <v>562</v>
      </c>
      <c r="D49" s="3" t="s">
        <v>563</v>
      </c>
    </row>
    <row r="50" spans="2:15" ht="99.75" x14ac:dyDescent="0.2">
      <c r="B50" s="14">
        <v>13</v>
      </c>
      <c r="C50" s="3" t="s">
        <v>564</v>
      </c>
      <c r="D50" s="3" t="s">
        <v>565</v>
      </c>
    </row>
    <row r="51" spans="2:15" ht="114" x14ac:dyDescent="0.2">
      <c r="B51" s="14">
        <v>14</v>
      </c>
      <c r="C51" s="3" t="s">
        <v>566</v>
      </c>
      <c r="D51" s="3" t="s">
        <v>567</v>
      </c>
    </row>
    <row r="52" spans="2:15" ht="85.5" x14ac:dyDescent="0.2">
      <c r="B52" s="14">
        <v>15</v>
      </c>
      <c r="C52" s="3" t="s">
        <v>568</v>
      </c>
      <c r="D52" s="3" t="s">
        <v>569</v>
      </c>
    </row>
    <row r="55" spans="2:15" ht="27.95" customHeight="1" x14ac:dyDescent="0.2">
      <c r="B55" s="625" t="s">
        <v>570</v>
      </c>
      <c r="C55" s="625"/>
      <c r="D55" s="625"/>
    </row>
    <row r="56" spans="2:15" ht="15" thickBot="1" x14ac:dyDescent="0.25"/>
    <row r="57" spans="2:15" ht="40.5" customHeight="1" thickBot="1" x14ac:dyDescent="0.3">
      <c r="B57" s="148" t="s">
        <v>421</v>
      </c>
      <c r="C57" s="270" t="s">
        <v>571</v>
      </c>
      <c r="D57" s="270" t="s">
        <v>422</v>
      </c>
      <c r="E57" s="264" t="s">
        <v>62</v>
      </c>
      <c r="F57" s="270" t="s">
        <v>63</v>
      </c>
      <c r="G57" s="270" t="s">
        <v>572</v>
      </c>
      <c r="H57" s="270" t="s">
        <v>573</v>
      </c>
      <c r="I57" s="270" t="s">
        <v>574</v>
      </c>
      <c r="J57" s="270" t="s">
        <v>575</v>
      </c>
      <c r="K57" s="270" t="s">
        <v>576</v>
      </c>
      <c r="L57" s="270" t="s">
        <v>577</v>
      </c>
      <c r="M57" s="172" t="s">
        <v>578</v>
      </c>
      <c r="N57" s="172" t="s">
        <v>579</v>
      </c>
      <c r="O57" s="191"/>
    </row>
    <row r="58" spans="2:15" ht="33.6" customHeight="1" x14ac:dyDescent="0.2">
      <c r="B58" s="35" t="s">
        <v>91</v>
      </c>
      <c r="C58" s="271" t="str">
        <f>IF('4. Capabilities Assessment'!C14="", "", '4. Capabilities Assessment'!C14)</f>
        <v>AD.01</v>
      </c>
      <c r="D58" s="271" t="str">
        <f>IF('4. Capabilities Assessment'!D14="", "", '4. Capabilities Assessment'!D14)</f>
        <v>Security Requirements Definition</v>
      </c>
      <c r="E58" s="265" t="str">
        <f>IF('4. Capabilities Assessment'!K14="", "", '4. Capabilities Assessment'!K14)</f>
        <v>L2 – Assisted</v>
      </c>
      <c r="F58" s="265" t="str">
        <f>IF('4. Capabilities Assessment'!M14="", "", '4. Capabilities Assessment'!M14)</f>
        <v>L3 – Orchestrated</v>
      </c>
      <c r="G58" s="272">
        <f>VLOOKUP(E58,$B$6:$C$11,2,FALSE)</f>
        <v>2</v>
      </c>
      <c r="H58" s="272">
        <f t="shared" ref="G58:H87" si="0">VLOOKUP(F58,$B$6:$C$11,2,FALSE)</f>
        <v>3</v>
      </c>
      <c r="I58" s="272">
        <f t="shared" ref="I58:I87" si="1">IFERROR(VLOOKUP(F58,$B$6:$C$11,2,FALSE),0) - IFERROR(VLOOKUP(E58,$B$6:$C$11,2,FALSE),0)</f>
        <v>1</v>
      </c>
      <c r="J58" s="272">
        <f>IF('9. List &amp; Calc'!$D58 = D92, E92)</f>
        <v>1</v>
      </c>
      <c r="K58" s="272">
        <f>'9. List &amp; Calc'!$I58+'9. List &amp; Calc'!$J58</f>
        <v>2</v>
      </c>
      <c r="L58" s="265" t="str">
        <f t="shared" ref="L58:L87" si="2">IF(K58 &gt; 3, "High", IF($K58 &gt; 1, "Medium", "Low"))</f>
        <v>Medium</v>
      </c>
      <c r="M58" s="272">
        <f>K58+I58</f>
        <v>3</v>
      </c>
      <c r="N58" s="272">
        <f>_xlfn.RANK.EQ(M58, $M$58:$M$87, 0)</f>
        <v>11</v>
      </c>
      <c r="O58" s="152"/>
    </row>
    <row r="59" spans="2:15" ht="33.6" customHeight="1" x14ac:dyDescent="0.2">
      <c r="B59" s="14" t="s">
        <v>91</v>
      </c>
      <c r="C59" s="14" t="str">
        <f>IF('4. Capabilities Assessment'!C15="", "", '4. Capabilities Assessment'!C15)</f>
        <v>AD.02</v>
      </c>
      <c r="D59" s="14" t="str">
        <f>IF('4. Capabilities Assessment'!D15="", "", '4. Capabilities Assessment'!D15)</f>
        <v>Threat Modeling</v>
      </c>
      <c r="E59" s="3" t="str">
        <f>IF('4. Capabilities Assessment'!K15="", "", '4. Capabilities Assessment'!K15)</f>
        <v>L3 – Orchestrated</v>
      </c>
      <c r="F59" s="3" t="str">
        <f>IF('4. Capabilities Assessment'!M15="", "", '4. Capabilities Assessment'!M15)</f>
        <v>L4 – Automated</v>
      </c>
      <c r="G59" s="273">
        <f t="shared" si="0"/>
        <v>3</v>
      </c>
      <c r="H59" s="273">
        <f t="shared" si="0"/>
        <v>4</v>
      </c>
      <c r="I59" s="273">
        <f t="shared" si="1"/>
        <v>1</v>
      </c>
      <c r="J59" s="273">
        <f>IF('9. List &amp; Calc'!$D59 = D93, E93)</f>
        <v>1</v>
      </c>
      <c r="K59" s="273">
        <f>'9. List &amp; Calc'!$I59+'9. List &amp; Calc'!$J59</f>
        <v>2</v>
      </c>
      <c r="L59" s="3" t="str">
        <f t="shared" si="2"/>
        <v>Medium</v>
      </c>
      <c r="M59" s="273">
        <f t="shared" ref="M59:M87" si="3">K59+I59</f>
        <v>3</v>
      </c>
      <c r="N59" s="273">
        <f t="shared" ref="N59:N87" si="4">_xlfn.RANK.EQ(M59, $M$58:$M$87, 0)</f>
        <v>11</v>
      </c>
      <c r="O59" s="152"/>
    </row>
    <row r="60" spans="2:15" ht="33.6" customHeight="1" x14ac:dyDescent="0.2">
      <c r="B60" s="35" t="s">
        <v>91</v>
      </c>
      <c r="C60" s="35" t="str">
        <f>IF('4. Capabilities Assessment'!C16="", "", '4. Capabilities Assessment'!C16)</f>
        <v>AD.03</v>
      </c>
      <c r="D60" s="35" t="str">
        <f>IF('4. Capabilities Assessment'!D16="", "", '4. Capabilities Assessment'!D16)</f>
        <v>Secure Architecture Design</v>
      </c>
      <c r="E60" s="266" t="str">
        <f>IF('4. Capabilities Assessment'!K16="", "", '4. Capabilities Assessment'!K16)</f>
        <v>L1 – Manual</v>
      </c>
      <c r="F60" s="266" t="str">
        <f>IF('4. Capabilities Assessment'!M16="", "", '4. Capabilities Assessment'!M16)</f>
        <v>L1 – Manual</v>
      </c>
      <c r="G60" s="274">
        <f t="shared" si="0"/>
        <v>1</v>
      </c>
      <c r="H60" s="274">
        <f t="shared" si="0"/>
        <v>1</v>
      </c>
      <c r="I60" s="274">
        <f t="shared" si="1"/>
        <v>0</v>
      </c>
      <c r="J60" s="274">
        <f>IF('9. List &amp; Calc'!$D60 = D94, E94)</f>
        <v>2</v>
      </c>
      <c r="K60" s="274">
        <f>'9. List &amp; Calc'!$I60+'9. List &amp; Calc'!$J60</f>
        <v>2</v>
      </c>
      <c r="L60" s="266" t="str">
        <f t="shared" si="2"/>
        <v>Medium</v>
      </c>
      <c r="M60" s="274">
        <f t="shared" si="3"/>
        <v>2</v>
      </c>
      <c r="N60" s="274">
        <f t="shared" si="4"/>
        <v>20</v>
      </c>
      <c r="O60" s="15"/>
    </row>
    <row r="61" spans="2:15" ht="31.5" customHeight="1" x14ac:dyDescent="0.2">
      <c r="B61" s="14" t="s">
        <v>91</v>
      </c>
      <c r="C61" s="14" t="str">
        <f>IF('4. Capabilities Assessment'!C17="", "", '4. Capabilities Assessment'!C17)</f>
        <v>AD.04</v>
      </c>
      <c r="D61" s="14" t="str">
        <f>IF('4. Capabilities Assessment'!D17="", "", '4. Capabilities Assessment'!D17)</f>
        <v>Zero Trust Architecture</v>
      </c>
      <c r="E61" s="3" t="str">
        <f>IF('4. Capabilities Assessment'!K17="", "", '4. Capabilities Assessment'!K17)</f>
        <v>L2 – Assisted</v>
      </c>
      <c r="F61" s="3" t="str">
        <f>IF('4. Capabilities Assessment'!M17="", "", '4. Capabilities Assessment'!M17)</f>
        <v>L3 – Orchestrated</v>
      </c>
      <c r="G61" s="273">
        <f t="shared" si="0"/>
        <v>2</v>
      </c>
      <c r="H61" s="273">
        <f t="shared" si="0"/>
        <v>3</v>
      </c>
      <c r="I61" s="273">
        <f t="shared" si="1"/>
        <v>1</v>
      </c>
      <c r="J61" s="273">
        <f>IF('9. List &amp; Calc'!$D61 = D95, E95)</f>
        <v>0</v>
      </c>
      <c r="K61" s="273">
        <f>'9. List &amp; Calc'!$I61+'9. List &amp; Calc'!$J61</f>
        <v>1</v>
      </c>
      <c r="L61" s="3" t="str">
        <f t="shared" si="2"/>
        <v>Low</v>
      </c>
      <c r="M61" s="273">
        <f t="shared" si="3"/>
        <v>2</v>
      </c>
      <c r="N61" s="273">
        <f t="shared" si="4"/>
        <v>20</v>
      </c>
    </row>
    <row r="62" spans="2:15" ht="31.5" customHeight="1" x14ac:dyDescent="0.2">
      <c r="B62" s="35" t="s">
        <v>91</v>
      </c>
      <c r="C62" s="35" t="str">
        <f>IF('4. Capabilities Assessment'!C18="", "", '4. Capabilities Assessment'!C18)</f>
        <v>AD.05</v>
      </c>
      <c r="D62" s="35" t="str">
        <f>IF('4. Capabilities Assessment'!D18="", "", '4. Capabilities Assessment'!D18)</f>
        <v>Secure AI/ML Design</v>
      </c>
      <c r="E62" s="266" t="str">
        <f>IF('4. Capabilities Assessment'!K18="", "", '4. Capabilities Assessment'!K18)</f>
        <v>L2 – Assisted</v>
      </c>
      <c r="F62" s="266" t="str">
        <f>IF('4. Capabilities Assessment'!M18="", "", '4. Capabilities Assessment'!M18)</f>
        <v>L3 – Orchestrated</v>
      </c>
      <c r="G62" s="274">
        <f t="shared" si="0"/>
        <v>2</v>
      </c>
      <c r="H62" s="274">
        <f t="shared" si="0"/>
        <v>3</v>
      </c>
      <c r="I62" s="274">
        <f t="shared" si="1"/>
        <v>1</v>
      </c>
      <c r="J62" s="274">
        <f>IF('9. List &amp; Calc'!$D62 = D96, E96)</f>
        <v>1</v>
      </c>
      <c r="K62" s="274">
        <f>'9. List &amp; Calc'!$I62+'9. List &amp; Calc'!$J62</f>
        <v>2</v>
      </c>
      <c r="L62" s="266" t="str">
        <f t="shared" si="2"/>
        <v>Medium</v>
      </c>
      <c r="M62" s="274">
        <f t="shared" si="3"/>
        <v>3</v>
      </c>
      <c r="N62" s="274">
        <f t="shared" si="4"/>
        <v>11</v>
      </c>
    </row>
    <row r="63" spans="2:15" ht="31.5" customHeight="1" x14ac:dyDescent="0.2">
      <c r="B63" s="14" t="s">
        <v>91</v>
      </c>
      <c r="C63" s="14" t="str">
        <f>IF('4. Capabilities Assessment'!C19="", "", '4. Capabilities Assessment'!C19)</f>
        <v>AD.06</v>
      </c>
      <c r="D63" s="14" t="str">
        <f>IF('4. Capabilities Assessment'!D19="", "", '4. Capabilities Assessment'!D19)</f>
        <v>AI/ML Training Data Collection Security</v>
      </c>
      <c r="E63" s="3" t="str">
        <f>IF('4. Capabilities Assessment'!K19="", "", '4. Capabilities Assessment'!K19)</f>
        <v>L1 – Manual</v>
      </c>
      <c r="F63" s="3" t="str">
        <f>IF('4. Capabilities Assessment'!M19="", "", '4. Capabilities Assessment'!M19)</f>
        <v>L4 – Automated</v>
      </c>
      <c r="G63" s="273">
        <f t="shared" si="0"/>
        <v>1</v>
      </c>
      <c r="H63" s="273">
        <f t="shared" si="0"/>
        <v>4</v>
      </c>
      <c r="I63" s="273">
        <f t="shared" si="1"/>
        <v>3</v>
      </c>
      <c r="J63" s="273">
        <f>IF('9. List &amp; Calc'!$D63 = D97, E97)</f>
        <v>0</v>
      </c>
      <c r="K63" s="273">
        <f>'9. List &amp; Calc'!$I63+'9. List &amp; Calc'!$J63</f>
        <v>3</v>
      </c>
      <c r="L63" s="3" t="str">
        <f t="shared" si="2"/>
        <v>Medium</v>
      </c>
      <c r="M63" s="273">
        <f t="shared" si="3"/>
        <v>6</v>
      </c>
      <c r="N63" s="273">
        <f t="shared" si="4"/>
        <v>1</v>
      </c>
    </row>
    <row r="64" spans="2:15" ht="31.5" customHeight="1" x14ac:dyDescent="0.2">
      <c r="B64" s="35" t="s">
        <v>91</v>
      </c>
      <c r="C64" s="35" t="str">
        <f>IF('4. Capabilities Assessment'!C20="", "", '4. Capabilities Assessment'!C20)</f>
        <v>AD.07</v>
      </c>
      <c r="D64" s="35" t="str">
        <f>IF('4. Capabilities Assessment'!D20="", "", '4. Capabilities Assessment'!D20)</f>
        <v>Secure Design Review &amp; Assurance</v>
      </c>
      <c r="E64" s="266" t="str">
        <f>IF('4. Capabilities Assessment'!K20="", "", '4. Capabilities Assessment'!K20)</f>
        <v>L2 – Assisted</v>
      </c>
      <c r="F64" s="266" t="str">
        <f>IF('4. Capabilities Assessment'!M20="", "", '4. Capabilities Assessment'!M20)</f>
        <v>L2 – Assisted</v>
      </c>
      <c r="G64" s="274">
        <f t="shared" si="0"/>
        <v>2</v>
      </c>
      <c r="H64" s="274">
        <f t="shared" si="0"/>
        <v>2</v>
      </c>
      <c r="I64" s="274">
        <f t="shared" si="1"/>
        <v>0</v>
      </c>
      <c r="J64" s="274">
        <f>IF('9. List &amp; Calc'!$D64 = D98, E98)</f>
        <v>1</v>
      </c>
      <c r="K64" s="274">
        <f>'9. List &amp; Calc'!$I64+'9. List &amp; Calc'!$J64</f>
        <v>1</v>
      </c>
      <c r="L64" s="266" t="str">
        <f t="shared" si="2"/>
        <v>Low</v>
      </c>
      <c r="M64" s="274">
        <f t="shared" si="3"/>
        <v>1</v>
      </c>
      <c r="N64" s="274">
        <f t="shared" si="4"/>
        <v>27</v>
      </c>
    </row>
    <row r="65" spans="2:14" ht="31.5" customHeight="1" x14ac:dyDescent="0.2">
      <c r="B65" s="14" t="s">
        <v>168</v>
      </c>
      <c r="C65" s="14" t="str">
        <f>IF('4. Capabilities Assessment'!C21="", "", '4. Capabilities Assessment'!C21)</f>
        <v>BU.01</v>
      </c>
      <c r="D65" s="14" t="str">
        <f>IF('4. Capabilities Assessment'!D21="", "", '4. Capabilities Assessment'!D21)</f>
        <v>Secure Coding Practices &amp; Training</v>
      </c>
      <c r="E65" s="3" t="str">
        <f>IF('4. Capabilities Assessment'!K21="", "", '4. Capabilities Assessment'!K21)</f>
        <v>L2 – Assisted</v>
      </c>
      <c r="F65" s="3" t="str">
        <f>IF('4. Capabilities Assessment'!M21="", "", '4. Capabilities Assessment'!M21)</f>
        <v>L4 – Automated</v>
      </c>
      <c r="G65" s="273">
        <f t="shared" si="0"/>
        <v>2</v>
      </c>
      <c r="H65" s="273">
        <f t="shared" si="0"/>
        <v>4</v>
      </c>
      <c r="I65" s="273">
        <f t="shared" si="1"/>
        <v>2</v>
      </c>
      <c r="J65" s="273">
        <f>IF('9. List &amp; Calc'!$D65 = D99, E99)</f>
        <v>2</v>
      </c>
      <c r="K65" s="273">
        <f>'9. List &amp; Calc'!$I65+'9. List &amp; Calc'!$J65</f>
        <v>4</v>
      </c>
      <c r="L65" s="3" t="str">
        <f t="shared" si="2"/>
        <v>High</v>
      </c>
      <c r="M65" s="273">
        <f t="shared" si="3"/>
        <v>6</v>
      </c>
      <c r="N65" s="273">
        <f t="shared" si="4"/>
        <v>1</v>
      </c>
    </row>
    <row r="66" spans="2:14" ht="31.5" customHeight="1" x14ac:dyDescent="0.2">
      <c r="B66" s="35" t="s">
        <v>168</v>
      </c>
      <c r="C66" s="35" t="str">
        <f>IF('4. Capabilities Assessment'!C22="", "", '4. Capabilities Assessment'!C22)</f>
        <v>BU.02</v>
      </c>
      <c r="D66" s="35" t="str">
        <f>IF('4. Capabilities Assessment'!D22="", "", '4. Capabilities Assessment'!D22)</f>
        <v>Secure Code Review &amp; Static Analysis</v>
      </c>
      <c r="E66" s="266" t="str">
        <f>IF('4. Capabilities Assessment'!K22="", "", '4. Capabilities Assessment'!K22)</f>
        <v>L2 – Assisted</v>
      </c>
      <c r="F66" s="266" t="str">
        <f>IF('4. Capabilities Assessment'!M22="", "", '4. Capabilities Assessment'!M22)</f>
        <v>L4 – Automated</v>
      </c>
      <c r="G66" s="274">
        <f t="shared" si="0"/>
        <v>2</v>
      </c>
      <c r="H66" s="274">
        <f t="shared" si="0"/>
        <v>4</v>
      </c>
      <c r="I66" s="274">
        <f t="shared" si="1"/>
        <v>2</v>
      </c>
      <c r="J66" s="274">
        <f>IF('9. List &amp; Calc'!$D66 = D100, E100)</f>
        <v>1</v>
      </c>
      <c r="K66" s="274">
        <f>'9. List &amp; Calc'!$I66+'9. List &amp; Calc'!$J66</f>
        <v>3</v>
      </c>
      <c r="L66" s="266" t="str">
        <f t="shared" si="2"/>
        <v>Medium</v>
      </c>
      <c r="M66" s="274">
        <f t="shared" si="3"/>
        <v>5</v>
      </c>
      <c r="N66" s="274">
        <f t="shared" si="4"/>
        <v>4</v>
      </c>
    </row>
    <row r="67" spans="2:14" ht="31.5" customHeight="1" x14ac:dyDescent="0.2">
      <c r="B67" s="14" t="s">
        <v>168</v>
      </c>
      <c r="C67" s="14" t="str">
        <f>IF('4. Capabilities Assessment'!C23="", "", '4. Capabilities Assessment'!C23)</f>
        <v>BU.03</v>
      </c>
      <c r="D67" s="14" t="str">
        <f>IF('4. Capabilities Assessment'!D23="", "", '4. Capabilities Assessment'!D23)</f>
        <v>Software Supply Chain Security</v>
      </c>
      <c r="E67" s="3" t="str">
        <f>IF('4. Capabilities Assessment'!K23="", "", '4. Capabilities Assessment'!K23)</f>
        <v>L1 – Manual</v>
      </c>
      <c r="F67" s="3" t="str">
        <f>IF('4. Capabilities Assessment'!M23="", "", '4. Capabilities Assessment'!M23)</f>
        <v>L1 – Manual</v>
      </c>
      <c r="G67" s="273">
        <f t="shared" si="0"/>
        <v>1</v>
      </c>
      <c r="H67" s="273">
        <f t="shared" si="0"/>
        <v>1</v>
      </c>
      <c r="I67" s="273">
        <f t="shared" si="1"/>
        <v>0</v>
      </c>
      <c r="J67" s="273">
        <f>IF('9. List &amp; Calc'!$D67 = D101, E101)</f>
        <v>1</v>
      </c>
      <c r="K67" s="273">
        <f>'9. List &amp; Calc'!$I67+'9. List &amp; Calc'!$J67</f>
        <v>1</v>
      </c>
      <c r="L67" s="3" t="str">
        <f t="shared" si="2"/>
        <v>Low</v>
      </c>
      <c r="M67" s="273">
        <f t="shared" si="3"/>
        <v>1</v>
      </c>
      <c r="N67" s="273">
        <f t="shared" si="4"/>
        <v>27</v>
      </c>
    </row>
    <row r="68" spans="2:14" ht="31.5" customHeight="1" x14ac:dyDescent="0.2">
      <c r="B68" s="35" t="s">
        <v>168</v>
      </c>
      <c r="C68" s="35" t="str">
        <f>IF('4. Capabilities Assessment'!C24="", "", '4. Capabilities Assessment'!C24)</f>
        <v>BU.04</v>
      </c>
      <c r="D68" s="35" t="str">
        <f>IF('4. Capabilities Assessment'!D24="", "", '4. Capabilities Assessment'!D24)</f>
        <v>Secure Build &amp; CI/CD Pipeline</v>
      </c>
      <c r="E68" s="266" t="str">
        <f>IF('4. Capabilities Assessment'!K24="", "", '4. Capabilities Assessment'!K24)</f>
        <v>L2 – Assisted</v>
      </c>
      <c r="F68" s="266" t="str">
        <f>IF('4. Capabilities Assessment'!M24="", "", '4. Capabilities Assessment'!M24)</f>
        <v>L3 – Orchestrated</v>
      </c>
      <c r="G68" s="274">
        <f t="shared" si="0"/>
        <v>2</v>
      </c>
      <c r="H68" s="274">
        <f t="shared" si="0"/>
        <v>3</v>
      </c>
      <c r="I68" s="274">
        <f t="shared" si="1"/>
        <v>1</v>
      </c>
      <c r="J68" s="274">
        <f>IF('9. List &amp; Calc'!$D68 = D102, E102)</f>
        <v>2</v>
      </c>
      <c r="K68" s="274">
        <f>'9. List &amp; Calc'!$I68+'9. List &amp; Calc'!$J68</f>
        <v>3</v>
      </c>
      <c r="L68" s="266" t="str">
        <f t="shared" si="2"/>
        <v>Medium</v>
      </c>
      <c r="M68" s="274">
        <f t="shared" si="3"/>
        <v>4</v>
      </c>
      <c r="N68" s="274">
        <f t="shared" si="4"/>
        <v>8</v>
      </c>
    </row>
    <row r="69" spans="2:14" ht="31.5" customHeight="1" x14ac:dyDescent="0.2">
      <c r="B69" s="14" t="s">
        <v>168</v>
      </c>
      <c r="C69" s="14" t="str">
        <f>IF('4. Capabilities Assessment'!C25="", "", '4. Capabilities Assessment'!C25)</f>
        <v>BU.05</v>
      </c>
      <c r="D69" s="14" t="str">
        <f>IF('4. Capabilities Assessment'!D25="", "", '4. Capabilities Assessment'!D25)</f>
        <v>Secure Version Control &amp; Repository Management</v>
      </c>
      <c r="E69" s="3" t="str">
        <f>IF('4. Capabilities Assessment'!K25="", "", '4. Capabilities Assessment'!K25)</f>
        <v>L1 – Manual</v>
      </c>
      <c r="F69" s="3" t="str">
        <f>IF('4. Capabilities Assessment'!M25="", "", '4. Capabilities Assessment'!M25)</f>
        <v>L3 – Orchestrated</v>
      </c>
      <c r="G69" s="273">
        <f t="shared" si="0"/>
        <v>1</v>
      </c>
      <c r="H69" s="273">
        <f t="shared" si="0"/>
        <v>3</v>
      </c>
      <c r="I69" s="273">
        <f t="shared" si="1"/>
        <v>2</v>
      </c>
      <c r="J69" s="273">
        <f>IF('9. List &amp; Calc'!$D69 = D103, E103)</f>
        <v>0</v>
      </c>
      <c r="K69" s="273">
        <f>'9. List &amp; Calc'!$I69+'9. List &amp; Calc'!$J69</f>
        <v>2</v>
      </c>
      <c r="L69" s="3" t="str">
        <f t="shared" si="2"/>
        <v>Medium</v>
      </c>
      <c r="M69" s="273">
        <f t="shared" si="3"/>
        <v>4</v>
      </c>
      <c r="N69" s="273">
        <f t="shared" si="4"/>
        <v>8</v>
      </c>
    </row>
    <row r="70" spans="2:14" ht="31.5" customHeight="1" x14ac:dyDescent="0.2">
      <c r="B70" s="35" t="s">
        <v>168</v>
      </c>
      <c r="C70" s="35" t="str">
        <f>IF('4. Capabilities Assessment'!C26="", "", '4. Capabilities Assessment'!C26)</f>
        <v>BU.06</v>
      </c>
      <c r="D70" s="35" t="str">
        <f>IF('4. Capabilities Assessment'!D26="", "", '4. Capabilities Assessment'!D26)</f>
        <v>Secrets Management in Development</v>
      </c>
      <c r="E70" s="266" t="str">
        <f>IF('4. Capabilities Assessment'!K26="", "", '4. Capabilities Assessment'!K26)</f>
        <v>L3 – Orchestrated</v>
      </c>
      <c r="F70" s="266" t="str">
        <f>IF('4. Capabilities Assessment'!M26="", "", '4. Capabilities Assessment'!M26)</f>
        <v>L4 – Automated</v>
      </c>
      <c r="G70" s="274">
        <f t="shared" si="0"/>
        <v>3</v>
      </c>
      <c r="H70" s="274">
        <f t="shared" si="0"/>
        <v>4</v>
      </c>
      <c r="I70" s="274">
        <f t="shared" si="1"/>
        <v>1</v>
      </c>
      <c r="J70" s="274">
        <f>IF('9. List &amp; Calc'!$D70 = D104, E104)</f>
        <v>0</v>
      </c>
      <c r="K70" s="274">
        <f>'9. List &amp; Calc'!$I70+'9. List &amp; Calc'!$J70</f>
        <v>1</v>
      </c>
      <c r="L70" s="266" t="str">
        <f t="shared" si="2"/>
        <v>Low</v>
      </c>
      <c r="M70" s="274">
        <f t="shared" si="3"/>
        <v>2</v>
      </c>
      <c r="N70" s="274">
        <f t="shared" si="4"/>
        <v>20</v>
      </c>
    </row>
    <row r="71" spans="2:14" ht="31.5" customHeight="1" x14ac:dyDescent="0.2">
      <c r="B71" s="14" t="s">
        <v>233</v>
      </c>
      <c r="C71" s="14" t="str">
        <f>IF('4. Capabilities Assessment'!C27="", "", '4. Capabilities Assessment'!C27)</f>
        <v>TE.01</v>
      </c>
      <c r="D71" s="14" t="str">
        <f>IF('4. Capabilities Assessment'!D27="", "", '4. Capabilities Assessment'!D27)</f>
        <v>Automated Security Testing</v>
      </c>
      <c r="E71" s="3" t="str">
        <f>IF('4. Capabilities Assessment'!K27="", "", '4. Capabilities Assessment'!K27)</f>
        <v>L3 – Orchestrated</v>
      </c>
      <c r="F71" s="3" t="str">
        <f>IF('4. Capabilities Assessment'!M27="", "", '4. Capabilities Assessment'!M27)</f>
        <v>L5 – Autonomous</v>
      </c>
      <c r="G71" s="273">
        <f t="shared" si="0"/>
        <v>3</v>
      </c>
      <c r="H71" s="273">
        <f t="shared" si="0"/>
        <v>5</v>
      </c>
      <c r="I71" s="273">
        <f t="shared" si="1"/>
        <v>2</v>
      </c>
      <c r="J71" s="273">
        <f>IF('9. List &amp; Calc'!$D71 = D105, E105)</f>
        <v>1</v>
      </c>
      <c r="K71" s="273">
        <f>'9. List &amp; Calc'!$I71+'9. List &amp; Calc'!$J71</f>
        <v>3</v>
      </c>
      <c r="L71" s="3" t="str">
        <f t="shared" si="2"/>
        <v>Medium</v>
      </c>
      <c r="M71" s="273">
        <f t="shared" si="3"/>
        <v>5</v>
      </c>
      <c r="N71" s="273">
        <f t="shared" si="4"/>
        <v>4</v>
      </c>
    </row>
    <row r="72" spans="2:14" ht="31.5" customHeight="1" x14ac:dyDescent="0.2">
      <c r="B72" s="35" t="s">
        <v>233</v>
      </c>
      <c r="C72" s="35" t="str">
        <f>IF('4. Capabilities Assessment'!C28="", "", '4. Capabilities Assessment'!C28)</f>
        <v>TE.02</v>
      </c>
      <c r="D72" s="35" t="str">
        <f>IF('4. Capabilities Assessment'!D28="", "", '4. Capabilities Assessment'!D28)</f>
        <v>Penetration Testing &amp; Red Teaming</v>
      </c>
      <c r="E72" s="266" t="str">
        <f>IF('4. Capabilities Assessment'!K28="", "", '4. Capabilities Assessment'!K28)</f>
        <v>L2 – Assisted</v>
      </c>
      <c r="F72" s="266" t="str">
        <f>IF('4. Capabilities Assessment'!M28="", "", '4. Capabilities Assessment'!M28)</f>
        <v>L3 – Orchestrated</v>
      </c>
      <c r="G72" s="274">
        <f t="shared" si="0"/>
        <v>2</v>
      </c>
      <c r="H72" s="274">
        <f t="shared" si="0"/>
        <v>3</v>
      </c>
      <c r="I72" s="274">
        <f t="shared" si="1"/>
        <v>1</v>
      </c>
      <c r="J72" s="274">
        <f>IF('9. List &amp; Calc'!$D72 = D106, E106)</f>
        <v>1</v>
      </c>
      <c r="K72" s="274">
        <f>'9. List &amp; Calc'!$I72+'9. List &amp; Calc'!$J72</f>
        <v>2</v>
      </c>
      <c r="L72" s="266" t="str">
        <f t="shared" si="2"/>
        <v>Medium</v>
      </c>
      <c r="M72" s="274">
        <f t="shared" si="3"/>
        <v>3</v>
      </c>
      <c r="N72" s="274">
        <f t="shared" si="4"/>
        <v>11</v>
      </c>
    </row>
    <row r="73" spans="2:14" ht="31.5" customHeight="1" x14ac:dyDescent="0.2">
      <c r="B73" s="14" t="s">
        <v>233</v>
      </c>
      <c r="C73" s="14" t="str">
        <f>IF('4. Capabilities Assessment'!C29="", "", '4. Capabilities Assessment'!C29)</f>
        <v>TE.03</v>
      </c>
      <c r="D73" s="14" t="str">
        <f>IF('4. Capabilities Assessment'!D29="", "", '4. Capabilities Assessment'!D29)</f>
        <v>Fuzz &amp; Chaos Testing</v>
      </c>
      <c r="E73" s="3" t="str">
        <f>IF('4. Capabilities Assessment'!K29="", "", '4. Capabilities Assessment'!K29)</f>
        <v>L2 – Assisted</v>
      </c>
      <c r="F73" s="3" t="str">
        <f>IF('4. Capabilities Assessment'!M29="", "", '4. Capabilities Assessment'!M29)</f>
        <v>L3 – Orchestrated</v>
      </c>
      <c r="G73" s="273">
        <f t="shared" si="0"/>
        <v>2</v>
      </c>
      <c r="H73" s="273">
        <f t="shared" si="0"/>
        <v>3</v>
      </c>
      <c r="I73" s="273">
        <f t="shared" si="1"/>
        <v>1</v>
      </c>
      <c r="J73" s="273">
        <f>IF('9. List &amp; Calc'!$D73 = D107, E107)</f>
        <v>0</v>
      </c>
      <c r="K73" s="273">
        <f>'9. List &amp; Calc'!$I73+'9. List &amp; Calc'!$J73</f>
        <v>1</v>
      </c>
      <c r="L73" s="3" t="str">
        <f t="shared" si="2"/>
        <v>Low</v>
      </c>
      <c r="M73" s="273">
        <f t="shared" si="3"/>
        <v>2</v>
      </c>
      <c r="N73" s="273">
        <f t="shared" si="4"/>
        <v>20</v>
      </c>
    </row>
    <row r="74" spans="2:14" ht="31.5" customHeight="1" x14ac:dyDescent="0.2">
      <c r="B74" s="35" t="s">
        <v>233</v>
      </c>
      <c r="C74" s="35" t="str">
        <f>IF('4. Capabilities Assessment'!C30="", "", '4. Capabilities Assessment'!C30)</f>
        <v>TE.04</v>
      </c>
      <c r="D74" s="35" t="str">
        <f>IF('4. Capabilities Assessment'!D30="", "", '4. Capabilities Assessment'!D30)</f>
        <v>Security Requirements Validation</v>
      </c>
      <c r="E74" s="266" t="str">
        <f>IF('4. Capabilities Assessment'!K30="", "", '4. Capabilities Assessment'!K30)</f>
        <v>L1 – Manual</v>
      </c>
      <c r="F74" s="266" t="str">
        <f>IF('4. Capabilities Assessment'!M30="", "", '4. Capabilities Assessment'!M30)</f>
        <v>L2 – Assisted</v>
      </c>
      <c r="G74" s="274">
        <f t="shared" si="0"/>
        <v>1</v>
      </c>
      <c r="H74" s="274">
        <f t="shared" si="0"/>
        <v>2</v>
      </c>
      <c r="I74" s="274">
        <f t="shared" si="1"/>
        <v>1</v>
      </c>
      <c r="J74" s="274">
        <f>IF('9. List &amp; Calc'!$D74 = D108, E108)</f>
        <v>1</v>
      </c>
      <c r="K74" s="274">
        <f>'9. List &amp; Calc'!$I74+'9. List &amp; Calc'!$J74</f>
        <v>2</v>
      </c>
      <c r="L74" s="266" t="str">
        <f t="shared" si="2"/>
        <v>Medium</v>
      </c>
      <c r="M74" s="274">
        <f t="shared" si="3"/>
        <v>3</v>
      </c>
      <c r="N74" s="274">
        <f t="shared" si="4"/>
        <v>11</v>
      </c>
    </row>
    <row r="75" spans="2:14" ht="31.5" customHeight="1" x14ac:dyDescent="0.2">
      <c r="B75" s="14" t="s">
        <v>233</v>
      </c>
      <c r="C75" s="14" t="str">
        <f>IF('4. Capabilities Assessment'!C31="", "", '4. Capabilities Assessment'!C31)</f>
        <v>TE.05</v>
      </c>
      <c r="D75" s="14" t="str">
        <f>IF('4. Capabilities Assessment'!D31="", "", '4. Capabilities Assessment'!D31)</f>
        <v>Secure Test Environments &amp; Data Management</v>
      </c>
      <c r="E75" s="3" t="str">
        <f>IF('4. Capabilities Assessment'!K31="", "", '4. Capabilities Assessment'!K31)</f>
        <v>N/A</v>
      </c>
      <c r="F75" s="3" t="str">
        <f>IF('4. Capabilities Assessment'!M31="", "", '4. Capabilities Assessment'!M31)</f>
        <v>L1 – Manual</v>
      </c>
      <c r="G75" s="273">
        <f t="shared" si="0"/>
        <v>0</v>
      </c>
      <c r="H75" s="273">
        <f t="shared" si="0"/>
        <v>1</v>
      </c>
      <c r="I75" s="273">
        <f t="shared" si="1"/>
        <v>1</v>
      </c>
      <c r="J75" s="273">
        <f>IF('9. List &amp; Calc'!$D75 = D109, E109)</f>
        <v>1</v>
      </c>
      <c r="K75" s="273">
        <f>'9. List &amp; Calc'!$I75+'9. List &amp; Calc'!$J75</f>
        <v>2</v>
      </c>
      <c r="L75" s="3" t="str">
        <f t="shared" si="2"/>
        <v>Medium</v>
      </c>
      <c r="M75" s="273">
        <f t="shared" si="3"/>
        <v>3</v>
      </c>
      <c r="N75" s="273">
        <f t="shared" si="4"/>
        <v>11</v>
      </c>
    </row>
    <row r="76" spans="2:14" ht="31.5" customHeight="1" x14ac:dyDescent="0.2">
      <c r="B76" s="35" t="s">
        <v>285</v>
      </c>
      <c r="C76" s="35" t="str">
        <f>IF('4. Capabilities Assessment'!C32="", "", '4. Capabilities Assessment'!C32)</f>
        <v>DE.01</v>
      </c>
      <c r="D76" s="35" t="str">
        <f>IF('4. Capabilities Assessment'!D32="", "", '4. Capabilities Assessment'!D32)</f>
        <v>Secure Deployment &amp; Infrastructure‑as‑Code (IaC)</v>
      </c>
      <c r="E76" s="266" t="str">
        <f>IF('4. Capabilities Assessment'!K32="", "", '4. Capabilities Assessment'!K32)</f>
        <v>L4 – Automated</v>
      </c>
      <c r="F76" s="266" t="str">
        <f>IF('4. Capabilities Assessment'!M32="", "", '4. Capabilities Assessment'!M32)</f>
        <v>L5 – Autonomous</v>
      </c>
      <c r="G76" s="274">
        <f t="shared" si="0"/>
        <v>4</v>
      </c>
      <c r="H76" s="274">
        <f t="shared" si="0"/>
        <v>5</v>
      </c>
      <c r="I76" s="274">
        <f t="shared" si="1"/>
        <v>1</v>
      </c>
      <c r="J76" s="274">
        <f>IF('9. List &amp; Calc'!$D76 = D110, E110)</f>
        <v>2</v>
      </c>
      <c r="K76" s="274">
        <f>'9. List &amp; Calc'!$I76+'9. List &amp; Calc'!$J76</f>
        <v>3</v>
      </c>
      <c r="L76" s="266" t="str">
        <f t="shared" si="2"/>
        <v>Medium</v>
      </c>
      <c r="M76" s="274">
        <f t="shared" si="3"/>
        <v>4</v>
      </c>
      <c r="N76" s="274">
        <f t="shared" si="4"/>
        <v>8</v>
      </c>
    </row>
    <row r="77" spans="2:14" ht="31.5" customHeight="1" x14ac:dyDescent="0.2">
      <c r="B77" s="14" t="s">
        <v>285</v>
      </c>
      <c r="C77" s="14" t="str">
        <f>IF('4. Capabilities Assessment'!C33="", "", '4. Capabilities Assessment'!C33)</f>
        <v>DE.02</v>
      </c>
      <c r="D77" s="14" t="str">
        <f>IF('4. Capabilities Assessment'!D33="", "", '4. Capabilities Assessment'!D33)</f>
        <v>Container &amp; Orchestrator Security</v>
      </c>
      <c r="E77" s="3" t="str">
        <f>IF('4. Capabilities Assessment'!K33="", "", '4. Capabilities Assessment'!K33)</f>
        <v>L1 – Manual</v>
      </c>
      <c r="F77" s="3" t="str">
        <f>IF('4. Capabilities Assessment'!M33="", "", '4. Capabilities Assessment'!M33)</f>
        <v>L3 – Orchestrated</v>
      </c>
      <c r="G77" s="273">
        <f t="shared" si="0"/>
        <v>1</v>
      </c>
      <c r="H77" s="273">
        <f t="shared" si="0"/>
        <v>3</v>
      </c>
      <c r="I77" s="273">
        <f t="shared" si="1"/>
        <v>2</v>
      </c>
      <c r="J77" s="273">
        <f>IF('9. List &amp; Calc'!$D77 = D111, E111)</f>
        <v>1</v>
      </c>
      <c r="K77" s="273">
        <f>'9. List &amp; Calc'!$I77+'9. List &amp; Calc'!$J77</f>
        <v>3</v>
      </c>
      <c r="L77" s="3" t="str">
        <f t="shared" si="2"/>
        <v>Medium</v>
      </c>
      <c r="M77" s="273">
        <f t="shared" si="3"/>
        <v>5</v>
      </c>
      <c r="N77" s="273">
        <f t="shared" si="4"/>
        <v>4</v>
      </c>
    </row>
    <row r="78" spans="2:14" ht="31.5" customHeight="1" x14ac:dyDescent="0.2">
      <c r="B78" s="35" t="s">
        <v>285</v>
      </c>
      <c r="C78" s="35" t="str">
        <f>IF('4. Capabilities Assessment'!C34="", "", '4. Capabilities Assessment'!C34)</f>
        <v>DE.03</v>
      </c>
      <c r="D78" s="35" t="str">
        <f>IF('4. Capabilities Assessment'!D34="", "", '4. Capabilities Assessment'!D34)</f>
        <v>Policy‑as‑Code (PaC) Deployment</v>
      </c>
      <c r="E78" s="266" t="str">
        <f>IF('4. Capabilities Assessment'!K34="", "", '4. Capabilities Assessment'!K34)</f>
        <v>L2 – Assisted</v>
      </c>
      <c r="F78" s="266" t="str">
        <f>IF('4. Capabilities Assessment'!M34="", "", '4. Capabilities Assessment'!M34)</f>
        <v>L4 – Automated</v>
      </c>
      <c r="G78" s="274">
        <f t="shared" si="0"/>
        <v>2</v>
      </c>
      <c r="H78" s="274">
        <f t="shared" si="0"/>
        <v>4</v>
      </c>
      <c r="I78" s="274">
        <f t="shared" si="1"/>
        <v>2</v>
      </c>
      <c r="J78" s="274">
        <f>IF('9. List &amp; Calc'!$D78 = D112, E112)</f>
        <v>1</v>
      </c>
      <c r="K78" s="274">
        <f>'9. List &amp; Calc'!$I78+'9. List &amp; Calc'!$J78</f>
        <v>3</v>
      </c>
      <c r="L78" s="266" t="str">
        <f t="shared" si="2"/>
        <v>Medium</v>
      </c>
      <c r="M78" s="274">
        <f t="shared" si="3"/>
        <v>5</v>
      </c>
      <c r="N78" s="274">
        <f t="shared" si="4"/>
        <v>4</v>
      </c>
    </row>
    <row r="79" spans="2:14" ht="31.5" customHeight="1" x14ac:dyDescent="0.2">
      <c r="B79" s="14" t="s">
        <v>285</v>
      </c>
      <c r="C79" s="14" t="str">
        <f>IF('4. Capabilities Assessment'!C35="", "", '4. Capabilities Assessment'!C35)</f>
        <v>DE.04</v>
      </c>
      <c r="D79" s="14" t="str">
        <f>IF('4. Capabilities Assessment'!D35="", "", '4. Capabilities Assessment'!D35)</f>
        <v>Artifact Signing &amp; Provenance</v>
      </c>
      <c r="E79" s="3" t="str">
        <f>IF('4. Capabilities Assessment'!K35="", "", '4. Capabilities Assessment'!K35)</f>
        <v>L1 – Manual</v>
      </c>
      <c r="F79" s="3" t="str">
        <f>IF('4. Capabilities Assessment'!M35="", "", '4. Capabilities Assessment'!M35)</f>
        <v>L1 – Manual</v>
      </c>
      <c r="G79" s="273">
        <f t="shared" si="0"/>
        <v>1</v>
      </c>
      <c r="H79" s="273">
        <f t="shared" si="0"/>
        <v>1</v>
      </c>
      <c r="I79" s="273">
        <f t="shared" si="1"/>
        <v>0</v>
      </c>
      <c r="J79" s="273">
        <f>IF('9. List &amp; Calc'!$D79 = D113, E113)</f>
        <v>0</v>
      </c>
      <c r="K79" s="273">
        <f>'9. List &amp; Calc'!$I79+'9. List &amp; Calc'!$J79</f>
        <v>0</v>
      </c>
      <c r="L79" s="3" t="str">
        <f t="shared" si="2"/>
        <v>Low</v>
      </c>
      <c r="M79" s="273">
        <f t="shared" si="3"/>
        <v>0</v>
      </c>
      <c r="N79" s="273">
        <f t="shared" si="4"/>
        <v>30</v>
      </c>
    </row>
    <row r="80" spans="2:14" ht="31.5" customHeight="1" x14ac:dyDescent="0.2">
      <c r="B80" s="35" t="s">
        <v>285</v>
      </c>
      <c r="C80" s="35" t="str">
        <f>IF('4. Capabilities Assessment'!C36="", "", '4. Capabilities Assessment'!C36)</f>
        <v>DE.05</v>
      </c>
      <c r="D80" s="35" t="str">
        <f>IF('4. Capabilities Assessment'!D36="", "", '4. Capabilities Assessment'!D36)</f>
        <v>Deployment Security Gates &amp; Reviews</v>
      </c>
      <c r="E80" s="266" t="str">
        <f>IF('4. Capabilities Assessment'!K36="", "", '4. Capabilities Assessment'!K36)</f>
        <v>L5 – Autonomous</v>
      </c>
      <c r="F80" s="266" t="str">
        <f>IF('4. Capabilities Assessment'!M36="", "", '4. Capabilities Assessment'!M36)</f>
        <v>L5 – Autonomous</v>
      </c>
      <c r="G80" s="274">
        <f t="shared" si="0"/>
        <v>5</v>
      </c>
      <c r="H80" s="274">
        <f t="shared" si="0"/>
        <v>5</v>
      </c>
      <c r="I80" s="274">
        <f t="shared" si="1"/>
        <v>0</v>
      </c>
      <c r="J80" s="274">
        <f>IF('9. List &amp; Calc'!$D80 = D114, E114)</f>
        <v>2</v>
      </c>
      <c r="K80" s="274">
        <f>'9. List &amp; Calc'!$I80+'9. List &amp; Calc'!$J80</f>
        <v>2</v>
      </c>
      <c r="L80" s="266" t="str">
        <f t="shared" si="2"/>
        <v>Medium</v>
      </c>
      <c r="M80" s="274">
        <f t="shared" si="3"/>
        <v>2</v>
      </c>
      <c r="N80" s="274">
        <f t="shared" si="4"/>
        <v>20</v>
      </c>
    </row>
    <row r="81" spans="2:14" ht="31.5" customHeight="1" x14ac:dyDescent="0.2">
      <c r="B81" s="14" t="s">
        <v>285</v>
      </c>
      <c r="C81" s="14" t="str">
        <f>IF('4. Capabilities Assessment'!C37="", "", '4. Capabilities Assessment'!C37)</f>
        <v>OM.01</v>
      </c>
      <c r="D81" s="14" t="str">
        <f>IF('4. Capabilities Assessment'!D37="", "", '4. Capabilities Assessment'!D37)</f>
        <v>Security Monitoring &amp; Threat Detection</v>
      </c>
      <c r="E81" s="3" t="str">
        <f>IF('4. Capabilities Assessment'!K37="", "", '4. Capabilities Assessment'!K37)</f>
        <v>L4 – Automated</v>
      </c>
      <c r="F81" s="3" t="str">
        <f>IF('4. Capabilities Assessment'!M37="", "", '4. Capabilities Assessment'!M37)</f>
        <v>L5 – Autonomous</v>
      </c>
      <c r="G81" s="273">
        <f t="shared" si="0"/>
        <v>4</v>
      </c>
      <c r="H81" s="273">
        <f t="shared" si="0"/>
        <v>5</v>
      </c>
      <c r="I81" s="273">
        <f t="shared" si="1"/>
        <v>1</v>
      </c>
      <c r="J81" s="273">
        <f>IF('9. List &amp; Calc'!$D81 = D115, E115)</f>
        <v>1</v>
      </c>
      <c r="K81" s="273">
        <f>'9. List &amp; Calc'!$I81+'9. List &amp; Calc'!$J81</f>
        <v>2</v>
      </c>
      <c r="L81" s="3" t="str">
        <f t="shared" si="2"/>
        <v>Medium</v>
      </c>
      <c r="M81" s="273">
        <f t="shared" si="3"/>
        <v>3</v>
      </c>
      <c r="N81" s="273">
        <f t="shared" si="4"/>
        <v>11</v>
      </c>
    </row>
    <row r="82" spans="2:14" ht="31.5" customHeight="1" x14ac:dyDescent="0.2">
      <c r="B82" s="35" t="s">
        <v>423</v>
      </c>
      <c r="C82" s="35" t="str">
        <f>IF('4. Capabilities Assessment'!C38="", "", '4. Capabilities Assessment'!C38)</f>
        <v>OM.02</v>
      </c>
      <c r="D82" s="35" t="str">
        <f>IF('4. Capabilities Assessment'!D38="", "", '4. Capabilities Assessment'!D38)</f>
        <v>Incident Response &amp; Recovery</v>
      </c>
      <c r="E82" s="266" t="str">
        <f>IF('4. Capabilities Assessment'!K38="", "", '4. Capabilities Assessment'!K38)</f>
        <v>L3 – Orchestrated</v>
      </c>
      <c r="F82" s="266" t="str">
        <f>IF('4. Capabilities Assessment'!M38="", "", '4. Capabilities Assessment'!M38)</f>
        <v>L4 – Automated</v>
      </c>
      <c r="G82" s="274">
        <f t="shared" si="0"/>
        <v>3</v>
      </c>
      <c r="H82" s="274">
        <f t="shared" si="0"/>
        <v>4</v>
      </c>
      <c r="I82" s="274">
        <f t="shared" si="1"/>
        <v>1</v>
      </c>
      <c r="J82" s="274">
        <f>IF('9. List &amp; Calc'!$D82 = D116, E116)</f>
        <v>1</v>
      </c>
      <c r="K82" s="274">
        <f>'9. List &amp; Calc'!$I82+'9. List &amp; Calc'!$J82</f>
        <v>2</v>
      </c>
      <c r="L82" s="266" t="str">
        <f t="shared" si="2"/>
        <v>Medium</v>
      </c>
      <c r="M82" s="274">
        <f t="shared" si="3"/>
        <v>3</v>
      </c>
      <c r="N82" s="274">
        <f t="shared" si="4"/>
        <v>11</v>
      </c>
    </row>
    <row r="83" spans="2:14" ht="31.5" customHeight="1" x14ac:dyDescent="0.2">
      <c r="B83" s="14" t="s">
        <v>423</v>
      </c>
      <c r="C83" s="14" t="str">
        <f>IF('4. Capabilities Assessment'!C39="", "", '4. Capabilities Assessment'!C39)</f>
        <v>OM.03</v>
      </c>
      <c r="D83" s="14" t="str">
        <f>IF('4. Capabilities Assessment'!D39="", "", '4. Capabilities Assessment'!D39)</f>
        <v>Vulnerability Management &amp; Patching</v>
      </c>
      <c r="E83" s="3" t="str">
        <f>IF('4. Capabilities Assessment'!K39="", "", '4. Capabilities Assessment'!K39)</f>
        <v>L2 – Assisted</v>
      </c>
      <c r="F83" s="3" t="str">
        <f>IF('4. Capabilities Assessment'!M39="", "", '4. Capabilities Assessment'!M39)</f>
        <v>L4 – Automated</v>
      </c>
      <c r="G83" s="273">
        <f t="shared" si="0"/>
        <v>2</v>
      </c>
      <c r="H83" s="273">
        <f t="shared" si="0"/>
        <v>4</v>
      </c>
      <c r="I83" s="273">
        <f t="shared" si="1"/>
        <v>2</v>
      </c>
      <c r="J83" s="273">
        <f>IF('9. List &amp; Calc'!$D83 = D117, E117)</f>
        <v>2</v>
      </c>
      <c r="K83" s="273">
        <f>'9. List &amp; Calc'!$I83+'9. List &amp; Calc'!$J83</f>
        <v>4</v>
      </c>
      <c r="L83" s="3" t="str">
        <f t="shared" si="2"/>
        <v>High</v>
      </c>
      <c r="M83" s="273">
        <f t="shared" si="3"/>
        <v>6</v>
      </c>
      <c r="N83" s="273">
        <f t="shared" si="4"/>
        <v>1</v>
      </c>
    </row>
    <row r="84" spans="2:14" ht="31.5" customHeight="1" x14ac:dyDescent="0.2">
      <c r="B84" s="35" t="s">
        <v>423</v>
      </c>
      <c r="C84" s="35" t="str">
        <f>IF('4. Capabilities Assessment'!C40="", "", '4. Capabilities Assessment'!C40)</f>
        <v>OM.04</v>
      </c>
      <c r="D84" s="35" t="str">
        <f>IF('4. Capabilities Assessment'!D40="", "", '4. Capabilities Assessment'!D40)</f>
        <v>API Security</v>
      </c>
      <c r="E84" s="266" t="str">
        <f>IF('4. Capabilities Assessment'!K40="", "", '4. Capabilities Assessment'!K40)</f>
        <v>L1 – Manual</v>
      </c>
      <c r="F84" s="266" t="str">
        <f>IF('4. Capabilities Assessment'!M40="", "", '4. Capabilities Assessment'!M40)</f>
        <v>L2 – Assisted</v>
      </c>
      <c r="G84" s="274">
        <f t="shared" si="0"/>
        <v>1</v>
      </c>
      <c r="H84" s="274">
        <f t="shared" si="0"/>
        <v>2</v>
      </c>
      <c r="I84" s="274">
        <f t="shared" si="1"/>
        <v>1</v>
      </c>
      <c r="J84" s="274">
        <f>IF('9. List &amp; Calc'!$D84 = D118, E118)</f>
        <v>0</v>
      </c>
      <c r="K84" s="274">
        <f>'9. List &amp; Calc'!$I84+'9. List &amp; Calc'!$J84</f>
        <v>1</v>
      </c>
      <c r="L84" s="266" t="str">
        <f t="shared" si="2"/>
        <v>Low</v>
      </c>
      <c r="M84" s="274">
        <f t="shared" si="3"/>
        <v>2</v>
      </c>
      <c r="N84" s="274">
        <f t="shared" si="4"/>
        <v>20</v>
      </c>
    </row>
    <row r="85" spans="2:14" ht="31.5" customHeight="1" x14ac:dyDescent="0.2">
      <c r="B85" s="14" t="s">
        <v>423</v>
      </c>
      <c r="C85" s="14" t="str">
        <f>IF('4. Capabilities Assessment'!C41="", "", '4. Capabilities Assessment'!C41)</f>
        <v>OM.05</v>
      </c>
      <c r="D85" s="14" t="str">
        <f>IF('4. Capabilities Assessment'!D41="", "", '4. Capabilities Assessment'!D41)</f>
        <v>Environment Management &amp; Configuration</v>
      </c>
      <c r="E85" s="3" t="str">
        <f>IF('4. Capabilities Assessment'!K41="", "", '4. Capabilities Assessment'!K41)</f>
        <v>L2 – Assisted</v>
      </c>
      <c r="F85" s="3" t="str">
        <f>IF('4. Capabilities Assessment'!M41="", "", '4. Capabilities Assessment'!M41)</f>
        <v>L3 – Orchestrated</v>
      </c>
      <c r="G85" s="273">
        <f t="shared" si="0"/>
        <v>2</v>
      </c>
      <c r="H85" s="273">
        <f t="shared" si="0"/>
        <v>3</v>
      </c>
      <c r="I85" s="273">
        <f t="shared" si="1"/>
        <v>1</v>
      </c>
      <c r="J85" s="273">
        <f>IF('9. List &amp; Calc'!$D85 = D119, E119)</f>
        <v>1</v>
      </c>
      <c r="K85" s="273">
        <f>'9. List &amp; Calc'!$I85+'9. List &amp; Calc'!$J85</f>
        <v>2</v>
      </c>
      <c r="L85" s="3" t="str">
        <f t="shared" si="2"/>
        <v>Medium</v>
      </c>
      <c r="M85" s="273">
        <f t="shared" si="3"/>
        <v>3</v>
      </c>
      <c r="N85" s="273">
        <f t="shared" si="4"/>
        <v>11</v>
      </c>
    </row>
    <row r="86" spans="2:14" ht="31.5" customHeight="1" x14ac:dyDescent="0.2">
      <c r="B86" s="35" t="s">
        <v>423</v>
      </c>
      <c r="C86" s="35" t="str">
        <f>IF('4. Capabilities Assessment'!C42="", "", '4. Capabilities Assessment'!C42)</f>
        <v>OM.06</v>
      </c>
      <c r="D86" s="35" t="str">
        <f>IF('4. Capabilities Assessment'!D42="", "", '4. Capabilities Assessment'!D42)</f>
        <v>Vulnerability Disclosure &amp; Bug Bounty</v>
      </c>
      <c r="E86" s="266" t="str">
        <f>IF('4. Capabilities Assessment'!K42="", "", '4. Capabilities Assessment'!K42)</f>
        <v>L5 – Autonomous</v>
      </c>
      <c r="F86" s="266" t="str">
        <f>IF('4. Capabilities Assessment'!M42="", "", '4. Capabilities Assessment'!M42)</f>
        <v>L5 – Autonomous</v>
      </c>
      <c r="G86" s="274">
        <f t="shared" si="0"/>
        <v>5</v>
      </c>
      <c r="H86" s="274">
        <f t="shared" si="0"/>
        <v>5</v>
      </c>
      <c r="I86" s="274">
        <f t="shared" si="1"/>
        <v>0</v>
      </c>
      <c r="J86" s="274">
        <f>IF('9. List &amp; Calc'!$D86 = D120, E120)</f>
        <v>1</v>
      </c>
      <c r="K86" s="274">
        <f>'9. List &amp; Calc'!$I86+'9. List &amp; Calc'!$J86</f>
        <v>1</v>
      </c>
      <c r="L86" s="266" t="str">
        <f t="shared" si="2"/>
        <v>Low</v>
      </c>
      <c r="M86" s="274">
        <f t="shared" si="3"/>
        <v>1</v>
      </c>
      <c r="N86" s="274">
        <f t="shared" si="4"/>
        <v>27</v>
      </c>
    </row>
    <row r="87" spans="2:14" ht="31.5" customHeight="1" thickBot="1" x14ac:dyDescent="0.25">
      <c r="B87" s="36" t="s">
        <v>423</v>
      </c>
      <c r="C87" s="36" t="str">
        <f>IF('4. Capabilities Assessment'!C43="", "", '4. Capabilities Assessment'!C43)</f>
        <v>OM.07</v>
      </c>
      <c r="D87" s="36" t="str">
        <f>IF('4. Capabilities Assessment'!D43="", "", '4. Capabilities Assessment'!D43)</f>
        <v>Agentic AI Oversight &amp; Control</v>
      </c>
      <c r="E87" s="275" t="str">
        <f>IF('4. Capabilities Assessment'!K43="", "", '4. Capabilities Assessment'!K43)</f>
        <v>L2 – Assisted</v>
      </c>
      <c r="F87" s="275" t="str">
        <f>IF('4. Capabilities Assessment'!M43="", "", '4. Capabilities Assessment'!M43)</f>
        <v>L3 – Orchestrated</v>
      </c>
      <c r="G87" s="276">
        <f t="shared" si="0"/>
        <v>2</v>
      </c>
      <c r="H87" s="276">
        <f t="shared" si="0"/>
        <v>3</v>
      </c>
      <c r="I87" s="276">
        <f t="shared" si="1"/>
        <v>1</v>
      </c>
      <c r="J87" s="276">
        <f>IF('9. List &amp; Calc'!$D87 = D121, E121)</f>
        <v>0</v>
      </c>
      <c r="K87" s="276">
        <f>'9. List &amp; Calc'!$I87+'9. List &amp; Calc'!$J87</f>
        <v>1</v>
      </c>
      <c r="L87" s="275" t="str">
        <f t="shared" si="2"/>
        <v>Low</v>
      </c>
      <c r="M87" s="276">
        <f t="shared" si="3"/>
        <v>2</v>
      </c>
      <c r="N87" s="276">
        <f t="shared" si="4"/>
        <v>20</v>
      </c>
    </row>
    <row r="89" spans="2:14" ht="15" x14ac:dyDescent="0.2">
      <c r="B89" s="625" t="s">
        <v>580</v>
      </c>
      <c r="C89" s="625"/>
      <c r="D89" s="625"/>
      <c r="E89" s="625"/>
      <c r="F89" s="625"/>
    </row>
    <row r="90" spans="2:14" ht="15" thickBot="1" x14ac:dyDescent="0.25"/>
    <row r="91" spans="2:14" ht="32.25" customHeight="1" thickBot="1" x14ac:dyDescent="0.3">
      <c r="B91" s="148" t="s">
        <v>421</v>
      </c>
      <c r="C91" s="148" t="s">
        <v>571</v>
      </c>
      <c r="D91" s="148" t="s">
        <v>422</v>
      </c>
      <c r="E91" s="148" t="s">
        <v>575</v>
      </c>
      <c r="F91" s="148" t="s">
        <v>581</v>
      </c>
      <c r="G91" s="327" t="s">
        <v>582</v>
      </c>
      <c r="H91" s="355" t="s">
        <v>574</v>
      </c>
      <c r="I91" s="327" t="s">
        <v>583</v>
      </c>
      <c r="J91" s="148" t="s">
        <v>584</v>
      </c>
      <c r="K91" s="148" t="s">
        <v>585</v>
      </c>
      <c r="L91" s="148" t="s">
        <v>88</v>
      </c>
      <c r="M91" s="2"/>
      <c r="N91" s="2"/>
    </row>
    <row r="92" spans="2:14" x14ac:dyDescent="0.2">
      <c r="B92" s="35" t="s">
        <v>91</v>
      </c>
      <c r="C92" s="35" t="str">
        <f>IF(C58="", "", C58)</f>
        <v>AD.01</v>
      </c>
      <c r="D92" s="35" t="str">
        <f>IF(D58="", "", D58)</f>
        <v>Security Requirements Definition</v>
      </c>
      <c r="E92" s="150">
        <f>IFERROR(IF(VLOOKUP(D92,'10. Capability Matrix'!$B$7:$B$36,1,FALSE)=D92,VLOOKUP(D92,'10. Capability Matrix'!$B$7:$L$36,11,FALSE),0),0)</f>
        <v>1</v>
      </c>
      <c r="F92" s="150">
        <f>IFERROR(IF(VLOOKUP(D92,'10. Capability Matrix'!B44:B73,1,FALSE)=D92,VLOOKUP(D92,'10. Capability Matrix'!$B$44:$L$73,11,FALSE),0),0)</f>
        <v>2</v>
      </c>
      <c r="G92" s="150">
        <f>SUM(E92+F92)</f>
        <v>3</v>
      </c>
      <c r="H92" s="150">
        <f>IF(I58="", "", I58)</f>
        <v>1</v>
      </c>
      <c r="I92" s="150">
        <f>G92+H92</f>
        <v>4</v>
      </c>
      <c r="J92" s="15" t="str">
        <f t="shared" ref="J92:J121" si="5">IF(E92 &gt; 1, "High", IF($E92 &gt; 0, "Medium", "Low"))</f>
        <v>Medium</v>
      </c>
      <c r="K92" s="626">
        <f>AVERAGE(E92:E98)</f>
        <v>0.8571428571428571</v>
      </c>
      <c r="L92" t="str">
        <f>IF('4. Capabilities Assessment'!N14="", "", '4. Capabilities Assessment'!N14)</f>
        <v>Implement Secure SDLC Requirements Gathering Templates</v>
      </c>
      <c r="M92" s="15"/>
      <c r="N92" s="152"/>
    </row>
    <row r="93" spans="2:14" x14ac:dyDescent="0.2">
      <c r="B93" s="14" t="s">
        <v>91</v>
      </c>
      <c r="C93" s="14" t="str">
        <f t="shared" ref="C93:D121" si="6">IF(C59="", "", C59)</f>
        <v>AD.02</v>
      </c>
      <c r="D93" s="14" t="str">
        <f t="shared" si="6"/>
        <v>Threat Modeling</v>
      </c>
      <c r="E93" s="10">
        <f>IFERROR(IF(VLOOKUP(D93,'10. Capability Matrix'!$B$7:$B$36,1,FALSE)=D93,VLOOKUP(D93,'10. Capability Matrix'!$B$7:$L$36,11,FALSE),0),0)</f>
        <v>1</v>
      </c>
      <c r="F93" s="10">
        <f>IFERROR(IF(VLOOKUP(D93,'10. Capability Matrix'!B45:B74,1,FALSE)=D93,VLOOKUP(D93,'10. Capability Matrix'!$B$44:$L$73,11,FALSE),0),0)</f>
        <v>3</v>
      </c>
      <c r="G93" s="10">
        <f t="shared" ref="G93:G121" si="7">SUM(E93+F93)</f>
        <v>4</v>
      </c>
      <c r="H93" s="10">
        <f t="shared" ref="H93:H121" si="8">IF(I59="", "", I59)</f>
        <v>1</v>
      </c>
      <c r="I93" s="10">
        <f t="shared" ref="I93:I121" si="9">G93+H93</f>
        <v>5</v>
      </c>
      <c r="J93" s="15" t="str">
        <f t="shared" si="5"/>
        <v>Medium</v>
      </c>
      <c r="K93" s="627"/>
      <c r="L93" t="str">
        <f>IF('4. Capabilities Assessment'!N15="", "", '4. Capabilities Assessment'!N15)</f>
        <v>Deploy Threat Modeling Automation Tools (e.g., ThreatSpec, IriusRisk)</v>
      </c>
      <c r="M93" s="15"/>
      <c r="N93" s="152"/>
    </row>
    <row r="94" spans="2:14" x14ac:dyDescent="0.2">
      <c r="B94" s="35" t="s">
        <v>91</v>
      </c>
      <c r="C94" s="35" t="str">
        <f t="shared" si="6"/>
        <v>AD.03</v>
      </c>
      <c r="D94" s="35" t="str">
        <f t="shared" si="6"/>
        <v>Secure Architecture Design</v>
      </c>
      <c r="E94" s="150">
        <f>IFERROR(IF(VLOOKUP(D94,'10. Capability Matrix'!$B$7:$B$36,1,FALSE)=D94,VLOOKUP(D94,'10. Capability Matrix'!$B$7:$L$36,11,FALSE),0),0)</f>
        <v>2</v>
      </c>
      <c r="F94" s="150">
        <f>IFERROR(IF(VLOOKUP(D94,'10. Capability Matrix'!B46:B75,1,FALSE)=D94,VLOOKUP(D94,'10. Capability Matrix'!$B$44:$L$73,11,FALSE),0),0)</f>
        <v>2</v>
      </c>
      <c r="G94" s="150">
        <f t="shared" si="7"/>
        <v>4</v>
      </c>
      <c r="H94" s="150">
        <f t="shared" si="8"/>
        <v>0</v>
      </c>
      <c r="I94" s="150">
        <f t="shared" si="9"/>
        <v>4</v>
      </c>
      <c r="J94" s="15" t="str">
        <f t="shared" si="5"/>
        <v>High</v>
      </c>
      <c r="K94" s="627"/>
      <c r="L94" t="str">
        <f>IF('4. Capabilities Assessment'!N16="", "", '4. Capabilities Assessment'!N16)</f>
        <v>Establish Secure Architecture Review Board</v>
      </c>
      <c r="M94" s="15"/>
      <c r="N94" s="15"/>
    </row>
    <row r="95" spans="2:14" x14ac:dyDescent="0.2">
      <c r="B95" s="14" t="s">
        <v>91</v>
      </c>
      <c r="C95" s="14" t="str">
        <f t="shared" si="6"/>
        <v>AD.04</v>
      </c>
      <c r="D95" s="14" t="str">
        <f t="shared" si="6"/>
        <v>Zero Trust Architecture</v>
      </c>
      <c r="E95" s="10">
        <f>IFERROR(IF(VLOOKUP(D95,'10. Capability Matrix'!$B$7:$B$36,1,FALSE)=D95,VLOOKUP(D95,'10. Capability Matrix'!$B$7:$L$36,11,FALSE),0),0)</f>
        <v>0</v>
      </c>
      <c r="F95" s="10">
        <f>IFERROR(IF(VLOOKUP(D95,'10. Capability Matrix'!B47:B76,1,FALSE)=D95,VLOOKUP(D95,'10. Capability Matrix'!$B$44:$L$73,11,FALSE),0),0)</f>
        <v>1</v>
      </c>
      <c r="G95" s="10">
        <f t="shared" si="7"/>
        <v>1</v>
      </c>
      <c r="H95" s="10">
        <f t="shared" si="8"/>
        <v>1</v>
      </c>
      <c r="I95" s="10">
        <f t="shared" si="9"/>
        <v>2</v>
      </c>
      <c r="J95" s="15" t="str">
        <f t="shared" si="5"/>
        <v>Low</v>
      </c>
      <c r="K95" s="627"/>
      <c r="L95" t="str">
        <f>IF('4. Capabilities Assessment'!N17="", "", '4. Capabilities Assessment'!N17)</f>
        <v>Establish Secure Architecture Review Board</v>
      </c>
    </row>
    <row r="96" spans="2:14" x14ac:dyDescent="0.2">
      <c r="B96" s="35" t="s">
        <v>91</v>
      </c>
      <c r="C96" s="35" t="str">
        <f t="shared" si="6"/>
        <v>AD.05</v>
      </c>
      <c r="D96" s="35" t="str">
        <f t="shared" si="6"/>
        <v>Secure AI/ML Design</v>
      </c>
      <c r="E96" s="150">
        <f>IFERROR(IF(VLOOKUP(D96,'10. Capability Matrix'!$B$7:$B$36,1,FALSE)=D96,VLOOKUP(D96,'10. Capability Matrix'!$B$7:$L$36,11,FALSE),0),0)</f>
        <v>1</v>
      </c>
      <c r="F96" s="150">
        <f>IFERROR(IF(VLOOKUP(D96,'10. Capability Matrix'!B48:B77,1,FALSE)=D96,VLOOKUP(D96,'10. Capability Matrix'!$B$44:$L$73,11,FALSE),0),0)</f>
        <v>0</v>
      </c>
      <c r="G96" s="150">
        <f t="shared" si="7"/>
        <v>1</v>
      </c>
      <c r="H96" s="150">
        <f t="shared" si="8"/>
        <v>1</v>
      </c>
      <c r="I96" s="150">
        <f t="shared" si="9"/>
        <v>2</v>
      </c>
      <c r="J96" s="15" t="str">
        <f t="shared" si="5"/>
        <v>Medium</v>
      </c>
      <c r="K96" s="627"/>
      <c r="L96" t="str">
        <f>IF('4. Capabilities Assessment'!N18="", "", '4. Capabilities Assessment'!N18)</f>
        <v>Establish Secure Architecture Review Board</v>
      </c>
    </row>
    <row r="97" spans="2:12" x14ac:dyDescent="0.2">
      <c r="B97" s="14" t="s">
        <v>91</v>
      </c>
      <c r="C97" s="14" t="str">
        <f t="shared" si="6"/>
        <v>AD.06</v>
      </c>
      <c r="D97" s="14" t="str">
        <f t="shared" si="6"/>
        <v>AI/ML Training Data Collection Security</v>
      </c>
      <c r="E97" s="10">
        <f>IFERROR(IF(VLOOKUP(D97,'10. Capability Matrix'!$B$7:$B$36,1,FALSE)=D97,VLOOKUP(D97,'10. Capability Matrix'!$B$7:$L$36,11,FALSE),0),0)</f>
        <v>0</v>
      </c>
      <c r="F97" s="10">
        <f>IFERROR(IF(VLOOKUP(D97,'10. Capability Matrix'!B49:B78,1,FALSE)=D97,VLOOKUP(D97,'10. Capability Matrix'!$B$44:$L$73,11,FALSE),0),0)</f>
        <v>0</v>
      </c>
      <c r="G97" s="10">
        <f t="shared" si="7"/>
        <v>0</v>
      </c>
      <c r="H97" s="10">
        <f t="shared" si="8"/>
        <v>3</v>
      </c>
      <c r="I97" s="10">
        <f t="shared" si="9"/>
        <v>3</v>
      </c>
      <c r="J97" s="15" t="str">
        <f t="shared" si="5"/>
        <v>Low</v>
      </c>
      <c r="K97" s="627"/>
      <c r="L97" t="str">
        <f>IF('4. Capabilities Assessment'!N19="", "", '4. Capabilities Assessment'!N19)</f>
        <v>Implement Secure AI/ML Design Controls &amp; Data Lineage Tracking</v>
      </c>
    </row>
    <row r="98" spans="2:12" x14ac:dyDescent="0.2">
      <c r="B98" s="35" t="s">
        <v>91</v>
      </c>
      <c r="C98" s="35" t="str">
        <f t="shared" si="6"/>
        <v>AD.07</v>
      </c>
      <c r="D98" s="35" t="str">
        <f t="shared" si="6"/>
        <v>Secure Design Review &amp; Assurance</v>
      </c>
      <c r="E98" s="150">
        <f>IFERROR(IF(VLOOKUP(D98,'10. Capability Matrix'!$B$7:$B$36,1,FALSE)=D98,VLOOKUP(D98,'10. Capability Matrix'!$B$7:$L$36,11,FALSE),0),0)</f>
        <v>1</v>
      </c>
      <c r="F98" s="150">
        <f>IFERROR(IF(VLOOKUP(D98,'10. Capability Matrix'!B50:B79,1,FALSE)=D98,VLOOKUP(D98,'10. Capability Matrix'!$B$44:$L$73,11,FALSE),0),0)</f>
        <v>0</v>
      </c>
      <c r="G98" s="150">
        <f t="shared" si="7"/>
        <v>1</v>
      </c>
      <c r="H98" s="150">
        <f t="shared" si="8"/>
        <v>0</v>
      </c>
      <c r="I98" s="150">
        <f t="shared" si="9"/>
        <v>1</v>
      </c>
      <c r="J98" s="15" t="str">
        <f t="shared" si="5"/>
        <v>Medium</v>
      </c>
      <c r="K98" s="627"/>
      <c r="L98" t="str">
        <f>IF('4. Capabilities Assessment'!N20="", "", '4. Capabilities Assessment'!N20)</f>
        <v>Secure Design Improvements</v>
      </c>
    </row>
    <row r="99" spans="2:12" x14ac:dyDescent="0.2">
      <c r="B99" s="14" t="s">
        <v>168</v>
      </c>
      <c r="C99" s="14" t="str">
        <f t="shared" si="6"/>
        <v>BU.01</v>
      </c>
      <c r="D99" s="14" t="str">
        <f t="shared" si="6"/>
        <v>Secure Coding Practices &amp; Training</v>
      </c>
      <c r="E99" s="10">
        <f>IFERROR(IF(VLOOKUP(D99,'10. Capability Matrix'!$B$7:$B$36,1,FALSE)=D99,VLOOKUP(D99,'10. Capability Matrix'!$B$7:$L$36,11,FALSE),0),0)</f>
        <v>2</v>
      </c>
      <c r="F99" s="10">
        <f>IFERROR(IF(VLOOKUP(D99,'10. Capability Matrix'!B51:B80,1,FALSE)=D99,VLOOKUP(D99,'10. Capability Matrix'!$B$44:$L$73,11,FALSE),0),0)</f>
        <v>3</v>
      </c>
      <c r="G99" s="10">
        <f t="shared" si="7"/>
        <v>5</v>
      </c>
      <c r="H99" s="10">
        <f t="shared" si="8"/>
        <v>2</v>
      </c>
      <c r="I99" s="10">
        <f t="shared" si="9"/>
        <v>7</v>
      </c>
      <c r="J99" s="15" t="str">
        <f t="shared" si="5"/>
        <v>High</v>
      </c>
      <c r="K99" s="628">
        <f>AVERAGE(E99:E104)</f>
        <v>1</v>
      </c>
      <c r="L99" t="str">
        <f>IF('4. Capabilities Assessment'!N21="", "", '4. Capabilities Assessment'!N21)</f>
        <v>Train Developers on Secure Coding Practices (OWASP Top 10)</v>
      </c>
    </row>
    <row r="100" spans="2:12" x14ac:dyDescent="0.2">
      <c r="B100" s="35" t="s">
        <v>168</v>
      </c>
      <c r="C100" s="35" t="str">
        <f t="shared" si="6"/>
        <v>BU.02</v>
      </c>
      <c r="D100" s="35" t="str">
        <f t="shared" si="6"/>
        <v>Secure Code Review &amp; Static Analysis</v>
      </c>
      <c r="E100" s="150">
        <f>IFERROR(IF(VLOOKUP(D100,'10. Capability Matrix'!$B$7:$B$36,1,FALSE)=D100,VLOOKUP(D100,'10. Capability Matrix'!$B$7:$L$36,11,FALSE),0),0)</f>
        <v>1</v>
      </c>
      <c r="F100" s="150">
        <f>IFERROR(IF(VLOOKUP(D100,'10. Capability Matrix'!B52:B81,1,FALSE)=D100,VLOOKUP(D100,'10. Capability Matrix'!$B$44:$L$73,11,FALSE),0),0)</f>
        <v>1</v>
      </c>
      <c r="G100" s="150">
        <f t="shared" si="7"/>
        <v>2</v>
      </c>
      <c r="H100" s="150">
        <f t="shared" si="8"/>
        <v>2</v>
      </c>
      <c r="I100" s="150">
        <f t="shared" si="9"/>
        <v>4</v>
      </c>
      <c r="J100" s="15" t="str">
        <f t="shared" si="5"/>
        <v>Medium</v>
      </c>
      <c r="K100" s="628"/>
      <c r="L100" t="str">
        <f>IF('4. Capabilities Assessment'!N22="", "", '4. Capabilities Assessment'!N22)</f>
        <v>Integrate SAST Tools into CI Pipeline</v>
      </c>
    </row>
    <row r="101" spans="2:12" x14ac:dyDescent="0.2">
      <c r="B101" s="14" t="s">
        <v>168</v>
      </c>
      <c r="C101" s="14" t="str">
        <f t="shared" si="6"/>
        <v>BU.03</v>
      </c>
      <c r="D101" s="14" t="str">
        <f t="shared" si="6"/>
        <v>Software Supply Chain Security</v>
      </c>
      <c r="E101" s="10">
        <f>IFERROR(IF(VLOOKUP(D101,'10. Capability Matrix'!$B$7:$B$36,1,FALSE)=D101,VLOOKUP(D101,'10. Capability Matrix'!$B$7:$L$36,11,FALSE),0),0)</f>
        <v>1</v>
      </c>
      <c r="F101" s="10">
        <f>IFERROR(IF(VLOOKUP(D101,'10. Capability Matrix'!B53:B82,1,FALSE)=D101,VLOOKUP(D101,'10. Capability Matrix'!$B$44:$L$73,11,FALSE),0),0)</f>
        <v>0</v>
      </c>
      <c r="G101" s="10">
        <f t="shared" si="7"/>
        <v>1</v>
      </c>
      <c r="H101" s="10">
        <f t="shared" si="8"/>
        <v>0</v>
      </c>
      <c r="I101" s="10">
        <f t="shared" si="9"/>
        <v>1</v>
      </c>
      <c r="J101" s="15" t="str">
        <f t="shared" si="5"/>
        <v>Medium</v>
      </c>
      <c r="K101" s="628"/>
      <c r="L101" t="str">
        <f>IF('4. Capabilities Assessment'!N23="", "", '4. Capabilities Assessment'!N23)</f>
        <v>Automate Software Composition Analysis &amp; Supply Chain Scanning</v>
      </c>
    </row>
    <row r="102" spans="2:12" x14ac:dyDescent="0.2">
      <c r="B102" s="35" t="s">
        <v>168</v>
      </c>
      <c r="C102" s="35" t="str">
        <f t="shared" si="6"/>
        <v>BU.04</v>
      </c>
      <c r="D102" s="35" t="str">
        <f t="shared" si="6"/>
        <v>Secure Build &amp; CI/CD Pipeline</v>
      </c>
      <c r="E102" s="150">
        <f>IFERROR(IF(VLOOKUP(D102,'10. Capability Matrix'!$B$7:$B$36,1,FALSE)=D102,VLOOKUP(D102,'10. Capability Matrix'!$B$7:$L$36,11,FALSE),0),0)</f>
        <v>2</v>
      </c>
      <c r="F102" s="150">
        <f>IFERROR(IF(VLOOKUP(D102,'10. Capability Matrix'!B54:B83,1,FALSE)=D102,VLOOKUP(D102,'10. Capability Matrix'!$B$44:$L$73,11,FALSE),0),0)</f>
        <v>1</v>
      </c>
      <c r="G102" s="150">
        <f t="shared" si="7"/>
        <v>3</v>
      </c>
      <c r="H102" s="150">
        <f t="shared" si="8"/>
        <v>1</v>
      </c>
      <c r="I102" s="150">
        <f t="shared" si="9"/>
        <v>4</v>
      </c>
      <c r="J102" s="15" t="str">
        <f t="shared" si="5"/>
        <v>High</v>
      </c>
      <c r="K102" s="628"/>
      <c r="L102" t="str">
        <f>IF('4. Capabilities Assessment'!N24="", "", '4. Capabilities Assessment'!N24)</f>
        <v>Enhance CI/CD Pipelines with Secrets Scanning &amp; Signing Tools</v>
      </c>
    </row>
    <row r="103" spans="2:12" x14ac:dyDescent="0.2">
      <c r="B103" s="14" t="s">
        <v>168</v>
      </c>
      <c r="C103" s="14" t="str">
        <f t="shared" si="6"/>
        <v>BU.05</v>
      </c>
      <c r="D103" s="14" t="str">
        <f t="shared" si="6"/>
        <v>Secure Version Control &amp; Repository Management</v>
      </c>
      <c r="E103" s="10">
        <f>IFERROR(IF(VLOOKUP(D103,'10. Capability Matrix'!$B$7:$B$36,1,FALSE)=D103,VLOOKUP(D103,'10. Capability Matrix'!$B$7:$L$36,11,FALSE),0),0)</f>
        <v>0</v>
      </c>
      <c r="F103" s="10">
        <f>IFERROR(IF(VLOOKUP(D103,'10. Capability Matrix'!B55:B84,1,FALSE)=D103,VLOOKUP(D103,'10. Capability Matrix'!$B$44:$L$73,11,FALSE),0),0)</f>
        <v>0</v>
      </c>
      <c r="G103" s="10">
        <f t="shared" si="7"/>
        <v>0</v>
      </c>
      <c r="H103" s="10">
        <f t="shared" si="8"/>
        <v>2</v>
      </c>
      <c r="I103" s="10">
        <f t="shared" si="9"/>
        <v>2</v>
      </c>
      <c r="J103" s="15" t="str">
        <f t="shared" si="5"/>
        <v>Low</v>
      </c>
      <c r="K103" s="628"/>
      <c r="L103" t="str">
        <f>IF('4. Capabilities Assessment'!N25="", "", '4. Capabilities Assessment'!N25)</f>
        <v/>
      </c>
    </row>
    <row r="104" spans="2:12" x14ac:dyDescent="0.2">
      <c r="B104" s="35" t="s">
        <v>168</v>
      </c>
      <c r="C104" s="35" t="str">
        <f t="shared" si="6"/>
        <v>BU.06</v>
      </c>
      <c r="D104" s="35" t="str">
        <f t="shared" si="6"/>
        <v>Secrets Management in Development</v>
      </c>
      <c r="E104" s="150">
        <f>IFERROR(IF(VLOOKUP(D104,'10. Capability Matrix'!$B$7:$B$36,1,FALSE)=D104,VLOOKUP(D104,'10. Capability Matrix'!$B$7:$L$36,11,FALSE),0),0)</f>
        <v>0</v>
      </c>
      <c r="F104" s="150">
        <f>IFERROR(IF(VLOOKUP(D104,'10. Capability Matrix'!B56:B85,1,FALSE)=D104,VLOOKUP(D104,'10. Capability Matrix'!$B$44:$L$73,11,FALSE),0),0)</f>
        <v>2</v>
      </c>
      <c r="G104" s="150">
        <f t="shared" si="7"/>
        <v>2</v>
      </c>
      <c r="H104" s="150">
        <f t="shared" si="8"/>
        <v>1</v>
      </c>
      <c r="I104" s="150">
        <f t="shared" si="9"/>
        <v>3</v>
      </c>
      <c r="J104" s="15" t="str">
        <f t="shared" si="5"/>
        <v>Low</v>
      </c>
      <c r="K104" s="628"/>
      <c r="L104" t="str">
        <f>IF('4. Capabilities Assessment'!N26="", "", '4. Capabilities Assessment'!N26)</f>
        <v>Enhance CI/CD Pipelines with Secrets Scanning &amp; Signing Tools</v>
      </c>
    </row>
    <row r="105" spans="2:12" x14ac:dyDescent="0.2">
      <c r="B105" s="14" t="s">
        <v>233</v>
      </c>
      <c r="C105" s="14" t="str">
        <f t="shared" si="6"/>
        <v>TE.01</v>
      </c>
      <c r="D105" s="14" t="str">
        <f t="shared" si="6"/>
        <v>Automated Security Testing</v>
      </c>
      <c r="E105" s="10">
        <f>IFERROR(IF(VLOOKUP(D105,'10. Capability Matrix'!$B$7:$B$36,1,FALSE)=D105,VLOOKUP(D105,'10. Capability Matrix'!$B$7:$L$36,11,FALSE),0),0)</f>
        <v>1</v>
      </c>
      <c r="F105" s="10">
        <f>IFERROR(IF(VLOOKUP(D105,'10. Capability Matrix'!B57:B86,1,FALSE)=D105,VLOOKUP(D105,'10. Capability Matrix'!$B$44:$L$73,11,FALSE),0),0)</f>
        <v>2</v>
      </c>
      <c r="G105" s="10">
        <f t="shared" si="7"/>
        <v>3</v>
      </c>
      <c r="H105" s="10">
        <f t="shared" si="8"/>
        <v>2</v>
      </c>
      <c r="I105" s="10">
        <f t="shared" si="9"/>
        <v>5</v>
      </c>
      <c r="J105" s="15" t="str">
        <f t="shared" si="5"/>
        <v>Medium</v>
      </c>
      <c r="K105" s="628">
        <f>AVERAGE(E105:E109)</f>
        <v>0.8</v>
      </c>
      <c r="L105" t="str">
        <f>IF('4. Capabilities Assessment'!N27="", "", '4. Capabilities Assessment'!N27)</f>
        <v>Integrate SAST Tools into CI Pipeline</v>
      </c>
    </row>
    <row r="106" spans="2:12" x14ac:dyDescent="0.2">
      <c r="B106" s="35" t="s">
        <v>233</v>
      </c>
      <c r="C106" s="35" t="str">
        <f t="shared" si="6"/>
        <v>TE.02</v>
      </c>
      <c r="D106" s="35" t="str">
        <f t="shared" si="6"/>
        <v>Penetration Testing &amp; Red Teaming</v>
      </c>
      <c r="E106" s="150">
        <f>IFERROR(IF(VLOOKUP(D106,'10. Capability Matrix'!$B$7:$B$36,1,FALSE)=D106,VLOOKUP(D106,'10. Capability Matrix'!$B$7:$L$36,11,FALSE),0),0)</f>
        <v>1</v>
      </c>
      <c r="F106" s="150">
        <f>IFERROR(IF(VLOOKUP(D106,'10. Capability Matrix'!B58:B87,1,FALSE)=D106,VLOOKUP(D106,'10. Capability Matrix'!$B$44:$L$73,11,FALSE),0),0)</f>
        <v>1</v>
      </c>
      <c r="G106" s="150">
        <f t="shared" si="7"/>
        <v>2</v>
      </c>
      <c r="H106" s="150">
        <f t="shared" si="8"/>
        <v>1</v>
      </c>
      <c r="I106" s="150">
        <f t="shared" si="9"/>
        <v>3</v>
      </c>
      <c r="J106" s="15" t="str">
        <f t="shared" si="5"/>
        <v>Medium</v>
      </c>
      <c r="K106" s="628"/>
      <c r="L106" t="str">
        <f>IF('4. Capabilities Assessment'!N28="", "", '4. Capabilities Assessment'!N28)</f>
        <v>Establish Fuzzing and Red Team Engagement Programs</v>
      </c>
    </row>
    <row r="107" spans="2:12" x14ac:dyDescent="0.2">
      <c r="B107" s="14" t="s">
        <v>233</v>
      </c>
      <c r="C107" s="14" t="str">
        <f t="shared" si="6"/>
        <v>TE.03</v>
      </c>
      <c r="D107" s="14" t="str">
        <f t="shared" si="6"/>
        <v>Fuzz &amp; Chaos Testing</v>
      </c>
      <c r="E107" s="10">
        <f>IFERROR(IF(VLOOKUP(D107,'10. Capability Matrix'!$B$7:$B$36,1,FALSE)=D107,VLOOKUP(D107,'10. Capability Matrix'!$B$7:$L$36,11,FALSE),0),0)</f>
        <v>0</v>
      </c>
      <c r="F107" s="10">
        <f>IFERROR(IF(VLOOKUP(D107,'10. Capability Matrix'!B59:B88,1,FALSE)=D107,VLOOKUP(D107,'10. Capability Matrix'!$B$44:$L$73,11,FALSE),0),0)</f>
        <v>1</v>
      </c>
      <c r="G107" s="10">
        <f t="shared" si="7"/>
        <v>1</v>
      </c>
      <c r="H107" s="10">
        <f t="shared" si="8"/>
        <v>1</v>
      </c>
      <c r="I107" s="10">
        <f t="shared" si="9"/>
        <v>2</v>
      </c>
      <c r="J107" s="15" t="str">
        <f t="shared" si="5"/>
        <v>Low</v>
      </c>
      <c r="K107" s="628"/>
      <c r="L107" t="str">
        <f>IF('4. Capabilities Assessment'!N29="", "", '4. Capabilities Assessment'!N29)</f>
        <v>Establish Fuzzing and Red Team Engagement Programs</v>
      </c>
    </row>
    <row r="108" spans="2:12" x14ac:dyDescent="0.2">
      <c r="B108" s="35" t="s">
        <v>233</v>
      </c>
      <c r="C108" s="35" t="str">
        <f t="shared" si="6"/>
        <v>TE.04</v>
      </c>
      <c r="D108" s="35" t="str">
        <f t="shared" si="6"/>
        <v>Security Requirements Validation</v>
      </c>
      <c r="E108" s="150">
        <f>IFERROR(IF(VLOOKUP(D108,'10. Capability Matrix'!$B$7:$B$36,1,FALSE)=D108,VLOOKUP(D108,'10. Capability Matrix'!$B$7:$L$36,11,FALSE),0),0)</f>
        <v>1</v>
      </c>
      <c r="F108" s="150">
        <f>IFERROR(IF(VLOOKUP(D108,'10. Capability Matrix'!B60:B89,1,FALSE)=D108,VLOOKUP(D108,'10. Capability Matrix'!$B$44:$L$73,11,FALSE),0),0)</f>
        <v>1</v>
      </c>
      <c r="G108" s="150">
        <f t="shared" si="7"/>
        <v>2</v>
      </c>
      <c r="H108" s="150">
        <f t="shared" si="8"/>
        <v>1</v>
      </c>
      <c r="I108" s="150">
        <f t="shared" si="9"/>
        <v>3</v>
      </c>
      <c r="J108" s="15" t="str">
        <f t="shared" si="5"/>
        <v>Medium</v>
      </c>
      <c r="K108" s="628"/>
      <c r="L108" t="str">
        <f>IF('4. Capabilities Assessment'!N30="", "", '4. Capabilities Assessment'!N30)</f>
        <v>Implement Secure SDLC Requirements Gathering Templates</v>
      </c>
    </row>
    <row r="109" spans="2:12" x14ac:dyDescent="0.2">
      <c r="B109" s="14" t="s">
        <v>233</v>
      </c>
      <c r="C109" s="14" t="str">
        <f t="shared" si="6"/>
        <v>TE.05</v>
      </c>
      <c r="D109" s="14" t="str">
        <f t="shared" si="6"/>
        <v>Secure Test Environments &amp; Data Management</v>
      </c>
      <c r="E109" s="10">
        <f>IFERROR(IF(VLOOKUP(D109,'10. Capability Matrix'!$B$7:$B$36,1,FALSE)=D109,VLOOKUP(D109,'10. Capability Matrix'!$B$7:$L$36,11,FALSE),0),0)</f>
        <v>1</v>
      </c>
      <c r="F109" s="10">
        <f>IFERROR(IF(VLOOKUP(D109,'10. Capability Matrix'!B61:B90,1,FALSE)=D109,VLOOKUP(D109,'10. Capability Matrix'!$B$44:$L$73,11,FALSE),0),0)</f>
        <v>2</v>
      </c>
      <c r="G109" s="10">
        <f t="shared" si="7"/>
        <v>3</v>
      </c>
      <c r="H109" s="10">
        <f t="shared" si="8"/>
        <v>1</v>
      </c>
      <c r="I109" s="10">
        <f t="shared" si="9"/>
        <v>4</v>
      </c>
      <c r="J109" s="15" t="str">
        <f t="shared" si="5"/>
        <v>Medium</v>
      </c>
      <c r="K109" s="628"/>
      <c r="L109" t="str">
        <f>IF('4. Capabilities Assessment'!N31="", "", '4. Capabilities Assessment'!N31)</f>
        <v/>
      </c>
    </row>
    <row r="110" spans="2:12" x14ac:dyDescent="0.2">
      <c r="B110" s="35" t="s">
        <v>285</v>
      </c>
      <c r="C110" s="35" t="str">
        <f t="shared" si="6"/>
        <v>DE.01</v>
      </c>
      <c r="D110" s="35" t="str">
        <f t="shared" si="6"/>
        <v>Secure Deployment &amp; Infrastructure‑as‑Code (IaC)</v>
      </c>
      <c r="E110" s="150">
        <f>IFERROR(IF(VLOOKUP(D110,'10. Capability Matrix'!$B$7:$B$36,1,FALSE)=D110,VLOOKUP(D110,'10. Capability Matrix'!$B$7:$L$36,11,FALSE),0),0)</f>
        <v>2</v>
      </c>
      <c r="F110" s="150">
        <f>IFERROR(IF(VLOOKUP(D110,'10. Capability Matrix'!B62:B91,1,FALSE)=D110,VLOOKUP(D110,'10. Capability Matrix'!$B$44:$L$73,11,FALSE),0),0)</f>
        <v>1</v>
      </c>
      <c r="G110" s="150">
        <f t="shared" si="7"/>
        <v>3</v>
      </c>
      <c r="H110" s="150">
        <f t="shared" si="8"/>
        <v>1</v>
      </c>
      <c r="I110" s="150">
        <f t="shared" si="9"/>
        <v>4</v>
      </c>
      <c r="J110" s="15" t="str">
        <f t="shared" si="5"/>
        <v>High</v>
      </c>
      <c r="K110" s="627">
        <f>AVERAGE(E110:E115)</f>
        <v>1.1666666666666667</v>
      </c>
      <c r="L110" t="str">
        <f>IF('4. Capabilities Assessment'!N32="", "", '4. Capabilities Assessment'!N32)</f>
        <v/>
      </c>
    </row>
    <row r="111" spans="2:12" x14ac:dyDescent="0.2">
      <c r="B111" s="14" t="s">
        <v>285</v>
      </c>
      <c r="C111" s="14" t="str">
        <f t="shared" si="6"/>
        <v>DE.02</v>
      </c>
      <c r="D111" s="14" t="str">
        <f t="shared" si="6"/>
        <v>Container &amp; Orchestrator Security</v>
      </c>
      <c r="E111" s="10">
        <f>IFERROR(IF(VLOOKUP(D111,'10. Capability Matrix'!$B$7:$B$36,1,FALSE)=D111,VLOOKUP(D111,'10. Capability Matrix'!$B$7:$L$36,11,FALSE),0),0)</f>
        <v>1</v>
      </c>
      <c r="F111" s="10">
        <f>IFERROR(IF(VLOOKUP(D111,'10. Capability Matrix'!B63:B92,1,FALSE)=D111,VLOOKUP(D111,'10. Capability Matrix'!$B$44:$L$73,11,FALSE),0),0)</f>
        <v>0</v>
      </c>
      <c r="G111" s="10">
        <f t="shared" si="7"/>
        <v>1</v>
      </c>
      <c r="H111" s="10">
        <f t="shared" si="8"/>
        <v>2</v>
      </c>
      <c r="I111" s="10">
        <f t="shared" si="9"/>
        <v>3</v>
      </c>
      <c r="J111" s="15" t="str">
        <f t="shared" si="5"/>
        <v>Medium</v>
      </c>
      <c r="K111" s="627"/>
      <c r="L111" t="str">
        <f>IF('4. Capabilities Assessment'!N33="", "", '4. Capabilities Assessment'!N33)</f>
        <v>Implement IaC and Container Security Scanning</v>
      </c>
    </row>
    <row r="112" spans="2:12" x14ac:dyDescent="0.2">
      <c r="B112" s="35" t="s">
        <v>285</v>
      </c>
      <c r="C112" s="35" t="str">
        <f t="shared" si="6"/>
        <v>DE.03</v>
      </c>
      <c r="D112" s="35" t="str">
        <f t="shared" si="6"/>
        <v>Policy‑as‑Code (PaC) Deployment</v>
      </c>
      <c r="E112" s="150">
        <f>IFERROR(IF(VLOOKUP(D112,'10. Capability Matrix'!$B$7:$B$36,1,FALSE)=D112,VLOOKUP(D112,'10. Capability Matrix'!$B$7:$L$36,11,FALSE),0),0)</f>
        <v>1</v>
      </c>
      <c r="F112" s="150">
        <f>IFERROR(IF(VLOOKUP(D112,'10. Capability Matrix'!B64:B93,1,FALSE)=D112,VLOOKUP(D112,'10. Capability Matrix'!$B$44:$L$73,11,FALSE),0),0)</f>
        <v>1</v>
      </c>
      <c r="G112" s="150">
        <f t="shared" si="7"/>
        <v>2</v>
      </c>
      <c r="H112" s="150">
        <f t="shared" si="8"/>
        <v>2</v>
      </c>
      <c r="I112" s="150">
        <f t="shared" si="9"/>
        <v>4</v>
      </c>
      <c r="J112" s="15" t="str">
        <f t="shared" si="5"/>
        <v>Medium</v>
      </c>
      <c r="K112" s="627"/>
      <c r="L112" t="str">
        <f>IF('4. Capabilities Assessment'!N34="", "", '4. Capabilities Assessment'!N34)</f>
        <v>Adopt Policy-as-Code for Automated Security Governance</v>
      </c>
    </row>
    <row r="113" spans="2:25" x14ac:dyDescent="0.2">
      <c r="B113" s="14" t="s">
        <v>285</v>
      </c>
      <c r="C113" s="14" t="str">
        <f t="shared" si="6"/>
        <v>DE.04</v>
      </c>
      <c r="D113" s="14" t="str">
        <f t="shared" si="6"/>
        <v>Artifact Signing &amp; Provenance</v>
      </c>
      <c r="E113" s="10">
        <f>IFERROR(IF(VLOOKUP(D113,'10. Capability Matrix'!$B$7:$B$36,1,FALSE)=D113,VLOOKUP(D113,'10. Capability Matrix'!$B$7:$L$36,11,FALSE),0),0)</f>
        <v>0</v>
      </c>
      <c r="F113" s="10">
        <f>IFERROR(IF(VLOOKUP(D113,'10. Capability Matrix'!B65:B94,1,FALSE)=D113,VLOOKUP(D113,'10. Capability Matrix'!$B$44:$L$73,11,FALSE),0),0)</f>
        <v>1</v>
      </c>
      <c r="G113" s="10">
        <f t="shared" si="7"/>
        <v>1</v>
      </c>
      <c r="H113" s="10">
        <f t="shared" si="8"/>
        <v>0</v>
      </c>
      <c r="I113" s="10">
        <f t="shared" si="9"/>
        <v>1</v>
      </c>
      <c r="J113" s="15" t="str">
        <f t="shared" si="5"/>
        <v>Low</v>
      </c>
      <c r="K113" s="627"/>
      <c r="L113" t="str">
        <f>IF('4. Capabilities Assessment'!N35="", "", '4. Capabilities Assessment'!N35)</f>
        <v>Enhance CI/CD Pipelines with Secrets Scanning &amp; Signing Tools</v>
      </c>
    </row>
    <row r="114" spans="2:25" x14ac:dyDescent="0.2">
      <c r="B114" s="35" t="s">
        <v>285</v>
      </c>
      <c r="C114" s="35" t="str">
        <f t="shared" si="6"/>
        <v>DE.05</v>
      </c>
      <c r="D114" s="35" t="str">
        <f t="shared" si="6"/>
        <v>Deployment Security Gates &amp; Reviews</v>
      </c>
      <c r="E114" s="150">
        <f>IFERROR(IF(VLOOKUP(D114,'10. Capability Matrix'!$B$7:$B$36,1,FALSE)=D114,VLOOKUP(D114,'10. Capability Matrix'!$B$7:$L$36,11,FALSE),0),0)</f>
        <v>2</v>
      </c>
      <c r="F114" s="150">
        <f>IFERROR(IF(VLOOKUP(D114,'10. Capability Matrix'!B66:B95,1,FALSE)=D114,VLOOKUP(D114,'10. Capability Matrix'!$B$44:$L$73,11,FALSE),0),0)</f>
        <v>0</v>
      </c>
      <c r="G114" s="150">
        <f t="shared" si="7"/>
        <v>2</v>
      </c>
      <c r="H114" s="150">
        <f t="shared" si="8"/>
        <v>0</v>
      </c>
      <c r="I114" s="150">
        <f t="shared" si="9"/>
        <v>2</v>
      </c>
      <c r="J114" s="15" t="str">
        <f t="shared" si="5"/>
        <v>High</v>
      </c>
      <c r="K114" s="627"/>
      <c r="L114" t="str">
        <f>IF('4. Capabilities Assessment'!N36="", "", '4. Capabilities Assessment'!N36)</f>
        <v>Adopt Policy-as-Code for Automated Security Governance</v>
      </c>
    </row>
    <row r="115" spans="2:25" x14ac:dyDescent="0.2">
      <c r="B115" s="14" t="s">
        <v>285</v>
      </c>
      <c r="C115" s="14" t="str">
        <f t="shared" si="6"/>
        <v>OM.01</v>
      </c>
      <c r="D115" s="14" t="str">
        <f t="shared" si="6"/>
        <v>Security Monitoring &amp; Threat Detection</v>
      </c>
      <c r="E115" s="10">
        <f>IFERROR(IF(VLOOKUP(D115,'10. Capability Matrix'!$B$7:$B$36,1,FALSE)=D115,VLOOKUP(D115,'10. Capability Matrix'!$B$7:$L$36,11,FALSE),0),0)</f>
        <v>1</v>
      </c>
      <c r="F115" s="10">
        <f>IFERROR(IF(VLOOKUP(D115,'10. Capability Matrix'!B67:B96,1,FALSE)=D115,VLOOKUP(D115,'10. Capability Matrix'!$B$44:$L$73,11,FALSE),0),0)</f>
        <v>3</v>
      </c>
      <c r="G115" s="10">
        <f t="shared" si="7"/>
        <v>4</v>
      </c>
      <c r="H115" s="10">
        <f t="shared" si="8"/>
        <v>1</v>
      </c>
      <c r="I115" s="10">
        <f t="shared" si="9"/>
        <v>5</v>
      </c>
      <c r="J115" s="15" t="str">
        <f t="shared" si="5"/>
        <v>Medium</v>
      </c>
      <c r="K115" s="627"/>
      <c r="L115" t="str">
        <f>IF('4. Capabilities Assessment'!N37="", "", '4. Capabilities Assessment'!N37)</f>
        <v>Deploy Centralized Security Monitoring and Threat Detection Tools</v>
      </c>
    </row>
    <row r="116" spans="2:25" x14ac:dyDescent="0.2">
      <c r="B116" s="35" t="s">
        <v>423</v>
      </c>
      <c r="C116" s="35" t="str">
        <f t="shared" si="6"/>
        <v>OM.02</v>
      </c>
      <c r="D116" s="35" t="str">
        <f t="shared" si="6"/>
        <v>Incident Response &amp; Recovery</v>
      </c>
      <c r="E116" s="150">
        <f>IFERROR(IF(VLOOKUP(D116,'10. Capability Matrix'!$B$7:$B$36,1,FALSE)=D116,VLOOKUP(D116,'10. Capability Matrix'!$B$7:$L$36,11,FALSE),0),0)</f>
        <v>1</v>
      </c>
      <c r="F116" s="150">
        <f>IFERROR(IF(VLOOKUP(D116,'10. Capability Matrix'!B68:B97,1,FALSE)=D116,VLOOKUP(D116,'10. Capability Matrix'!$B$44:$L$73,11,FALSE),0),0)</f>
        <v>2</v>
      </c>
      <c r="G116" s="150">
        <f t="shared" si="7"/>
        <v>3</v>
      </c>
      <c r="H116" s="150">
        <f t="shared" si="8"/>
        <v>1</v>
      </c>
      <c r="I116" s="150">
        <f t="shared" si="9"/>
        <v>4</v>
      </c>
      <c r="J116" s="15" t="str">
        <f t="shared" si="5"/>
        <v>Medium</v>
      </c>
      <c r="K116" s="627">
        <f>AVERAGE(E116:E121)</f>
        <v>0.83333333333333337</v>
      </c>
      <c r="L116" t="str">
        <f>IF('4. Capabilities Assessment'!N38="", "", '4. Capabilities Assessment'!N38)</f>
        <v>Deploy Centralized Security Monitoring and Threat Detection Tools</v>
      </c>
    </row>
    <row r="117" spans="2:25" x14ac:dyDescent="0.2">
      <c r="B117" s="14" t="s">
        <v>423</v>
      </c>
      <c r="C117" s="14" t="str">
        <f t="shared" si="6"/>
        <v>OM.03</v>
      </c>
      <c r="D117" s="14" t="str">
        <f t="shared" si="6"/>
        <v>Vulnerability Management &amp; Patching</v>
      </c>
      <c r="E117" s="10">
        <f>IFERROR(IF(VLOOKUP(D117,'10. Capability Matrix'!$B$7:$B$36,1,FALSE)=D117,VLOOKUP(D117,'10. Capability Matrix'!$B$7:$L$36,11,FALSE),0),0)</f>
        <v>2</v>
      </c>
      <c r="F117" s="10">
        <f>IFERROR(IF(VLOOKUP(D117,'10. Capability Matrix'!B69:B98,1,FALSE)=D117,VLOOKUP(D117,'10. Capability Matrix'!$B$44:$L$73,11,FALSE),0),0)</f>
        <v>0</v>
      </c>
      <c r="G117" s="10">
        <f t="shared" si="7"/>
        <v>2</v>
      </c>
      <c r="H117" s="10">
        <f t="shared" si="8"/>
        <v>2</v>
      </c>
      <c r="I117" s="10">
        <f t="shared" si="9"/>
        <v>4</v>
      </c>
      <c r="J117" s="15" t="str">
        <f t="shared" si="5"/>
        <v>High</v>
      </c>
      <c r="K117" s="627"/>
      <c r="L117" t="str">
        <f>IF('4. Capabilities Assessment'!N39="", "", '4. Capabilities Assessment'!N39)</f>
        <v>Integrate Patch Management &amp; Vulnerability Scanning Automation</v>
      </c>
    </row>
    <row r="118" spans="2:25" x14ac:dyDescent="0.2">
      <c r="B118" s="35" t="s">
        <v>423</v>
      </c>
      <c r="C118" s="35" t="str">
        <f t="shared" si="6"/>
        <v>OM.04</v>
      </c>
      <c r="D118" s="35" t="str">
        <f t="shared" si="6"/>
        <v>API Security</v>
      </c>
      <c r="E118" s="150">
        <f>IFERROR(IF(VLOOKUP(D118,'10. Capability Matrix'!$B$7:$B$36,1,FALSE)=D118,VLOOKUP(D118,'10. Capability Matrix'!$B$7:$L$36,11,FALSE),0),0)</f>
        <v>0</v>
      </c>
      <c r="F118" s="150">
        <f>IFERROR(IF(VLOOKUP(D118,'10. Capability Matrix'!B70:B99,1,FALSE)=D118,VLOOKUP(D118,'10. Capability Matrix'!$B$44:$L$73,11,FALSE),0),0)</f>
        <v>2</v>
      </c>
      <c r="G118" s="150">
        <f t="shared" si="7"/>
        <v>2</v>
      </c>
      <c r="H118" s="150">
        <f t="shared" si="8"/>
        <v>1</v>
      </c>
      <c r="I118" s="150">
        <f t="shared" si="9"/>
        <v>3</v>
      </c>
      <c r="J118" s="15" t="str">
        <f t="shared" si="5"/>
        <v>Low</v>
      </c>
      <c r="K118" s="627"/>
      <c r="L118" t="str">
        <f>IF('4. Capabilities Assessment'!N40="", "", '4. Capabilities Assessment'!N40)</f>
        <v>Deploy Centralized Security Monitoring and Threat Detection Tools</v>
      </c>
    </row>
    <row r="119" spans="2:25" x14ac:dyDescent="0.2">
      <c r="B119" s="14" t="s">
        <v>423</v>
      </c>
      <c r="C119" s="14" t="str">
        <f t="shared" si="6"/>
        <v>OM.05</v>
      </c>
      <c r="D119" s="14" t="str">
        <f t="shared" si="6"/>
        <v>Environment Management &amp; Configuration</v>
      </c>
      <c r="E119" s="10">
        <f>IFERROR(IF(VLOOKUP(D119,'10. Capability Matrix'!$B$7:$B$36,1,FALSE)=D119,VLOOKUP(D119,'10. Capability Matrix'!$B$7:$L$36,11,FALSE),0),0)</f>
        <v>1</v>
      </c>
      <c r="F119" s="10">
        <f>IFERROR(IF(VLOOKUP(D119,'10. Capability Matrix'!B71:B100,1,FALSE)=D119,VLOOKUP(D119,'10. Capability Matrix'!$B$44:$L$73,11,FALSE),0),0)</f>
        <v>1</v>
      </c>
      <c r="G119" s="10">
        <f t="shared" si="7"/>
        <v>2</v>
      </c>
      <c r="H119" s="10">
        <f t="shared" si="8"/>
        <v>1</v>
      </c>
      <c r="I119" s="10">
        <f t="shared" si="9"/>
        <v>3</v>
      </c>
      <c r="J119" s="15" t="str">
        <f t="shared" si="5"/>
        <v>Medium</v>
      </c>
      <c r="K119" s="627"/>
      <c r="L119" t="str">
        <f>IF('4. Capabilities Assessment'!N41="", "", '4. Capabilities Assessment'!N41)</f>
        <v>Integrate Patch Management &amp; Vulnerability Scanning Automation</v>
      </c>
    </row>
    <row r="120" spans="2:25" x14ac:dyDescent="0.2">
      <c r="B120" s="35" t="s">
        <v>423</v>
      </c>
      <c r="C120" s="35" t="str">
        <f t="shared" si="6"/>
        <v>OM.06</v>
      </c>
      <c r="D120" s="35" t="str">
        <f t="shared" si="6"/>
        <v>Vulnerability Disclosure &amp; Bug Bounty</v>
      </c>
      <c r="E120" s="150">
        <f>IFERROR(IF(VLOOKUP(D120,'10. Capability Matrix'!$B$7:$B$36,1,FALSE)=D120,VLOOKUP(D120,'10. Capability Matrix'!$B$7:$L$36,11,FALSE),0),0)</f>
        <v>1</v>
      </c>
      <c r="F120" s="150">
        <f>IFERROR(IF(VLOOKUP(D120,'10. Capability Matrix'!B72:B101,1,FALSE)=D120,VLOOKUP(D120,'10. Capability Matrix'!$B$44:$L$73,11,FALSE),0),0)</f>
        <v>1</v>
      </c>
      <c r="G120" s="150">
        <f t="shared" si="7"/>
        <v>2</v>
      </c>
      <c r="H120" s="150">
        <f t="shared" si="8"/>
        <v>0</v>
      </c>
      <c r="I120" s="150">
        <f t="shared" si="9"/>
        <v>2</v>
      </c>
      <c r="J120" s="15" t="str">
        <f t="shared" si="5"/>
        <v>Medium</v>
      </c>
      <c r="K120" s="627"/>
      <c r="L120" t="str">
        <f>IF('4. Capabilities Assessment'!N42="", "", '4. Capabilities Assessment'!N42)</f>
        <v>Launch Responsible Disclosure &amp; Bug Bounty Program</v>
      </c>
    </row>
    <row r="121" spans="2:25" ht="15" thickBot="1" x14ac:dyDescent="0.25">
      <c r="B121" s="36" t="s">
        <v>423</v>
      </c>
      <c r="C121" s="36" t="str">
        <f t="shared" si="6"/>
        <v>OM.07</v>
      </c>
      <c r="D121" s="36" t="str">
        <f t="shared" si="6"/>
        <v>Agentic AI Oversight &amp; Control</v>
      </c>
      <c r="E121" s="151">
        <f>IFERROR(IF(VLOOKUP(D121,'10. Capability Matrix'!$B$7:$B$36,1,FALSE)=D121,VLOOKUP(D121,'10. Capability Matrix'!$B$7:$L$36,11,FALSE),0),0)</f>
        <v>0</v>
      </c>
      <c r="F121" s="151">
        <f>IFERROR(IF(VLOOKUP(D121,'10. Capability Matrix'!B73:B102,1,FALSE)=D121,VLOOKUP(D121,'10. Capability Matrix'!$B$44:$L$73,11,FALSE),0),0)</f>
        <v>1</v>
      </c>
      <c r="G121" s="151">
        <f t="shared" si="7"/>
        <v>1</v>
      </c>
      <c r="H121" s="151">
        <f t="shared" si="8"/>
        <v>1</v>
      </c>
      <c r="I121" s="151">
        <f t="shared" si="9"/>
        <v>2</v>
      </c>
      <c r="J121" s="153" t="str">
        <f t="shared" si="5"/>
        <v>Low</v>
      </c>
      <c r="K121" s="629"/>
      <c r="L121" t="str">
        <f>IF('4. Capabilities Assessment'!N43="", "", '4. Capabilities Assessment'!N43)</f>
        <v>Develop AI Risk Governance Framework</v>
      </c>
    </row>
    <row r="123" spans="2:25" ht="21" thickBot="1" x14ac:dyDescent="0.25">
      <c r="B123" s="623" t="s">
        <v>586</v>
      </c>
      <c r="C123" s="624"/>
      <c r="D123" s="624"/>
      <c r="E123" s="624"/>
      <c r="F123" s="624"/>
      <c r="G123" s="624"/>
      <c r="H123" s="624"/>
      <c r="I123" s="624"/>
      <c r="J123" s="624"/>
      <c r="K123" s="624"/>
      <c r="L123" s="624"/>
      <c r="M123" s="624"/>
      <c r="N123" s="624"/>
      <c r="O123" s="624"/>
      <c r="P123" s="624"/>
      <c r="Q123" s="624"/>
      <c r="R123" s="624"/>
      <c r="S123" s="624"/>
      <c r="T123" s="624"/>
      <c r="U123" s="624"/>
    </row>
    <row r="124" spans="2:25" ht="15.75" thickBot="1" x14ac:dyDescent="0.3">
      <c r="E124" s="168" t="s">
        <v>62</v>
      </c>
      <c r="F124" s="169"/>
      <c r="G124" s="169"/>
      <c r="H124" s="169"/>
      <c r="I124" s="169"/>
      <c r="J124" s="169"/>
      <c r="K124" s="170"/>
      <c r="L124" s="168" t="s">
        <v>63</v>
      </c>
      <c r="M124" s="169"/>
      <c r="N124" s="169"/>
      <c r="O124" s="169"/>
      <c r="P124" s="169"/>
      <c r="Q124" s="169"/>
      <c r="R124" s="170"/>
    </row>
    <row r="125" spans="2:25" ht="15.75" thickBot="1" x14ac:dyDescent="0.25">
      <c r="B125" s="148" t="s">
        <v>421</v>
      </c>
      <c r="C125" s="148" t="s">
        <v>587</v>
      </c>
      <c r="D125" s="148" t="s">
        <v>588</v>
      </c>
      <c r="E125" s="172" t="s">
        <v>122</v>
      </c>
      <c r="F125" s="173" t="s">
        <v>589</v>
      </c>
      <c r="G125" s="173" t="s">
        <v>590</v>
      </c>
      <c r="H125" s="173" t="s">
        <v>591</v>
      </c>
      <c r="I125" s="173" t="s">
        <v>592</v>
      </c>
      <c r="J125" s="173" t="s">
        <v>593</v>
      </c>
      <c r="K125" s="173" t="s">
        <v>594</v>
      </c>
      <c r="L125" s="167" t="s">
        <v>122</v>
      </c>
      <c r="M125" s="173" t="s">
        <v>589</v>
      </c>
      <c r="N125" s="173" t="s">
        <v>590</v>
      </c>
      <c r="O125" s="173" t="s">
        <v>591</v>
      </c>
      <c r="P125" s="173" t="s">
        <v>592</v>
      </c>
      <c r="Q125" s="173" t="s">
        <v>593</v>
      </c>
      <c r="R125" s="167" t="s">
        <v>594</v>
      </c>
      <c r="S125" s="167" t="s">
        <v>574</v>
      </c>
      <c r="T125" s="148" t="s">
        <v>595</v>
      </c>
      <c r="U125" s="167" t="s">
        <v>576</v>
      </c>
      <c r="V125" s="148" t="s">
        <v>577</v>
      </c>
      <c r="W125" s="171" t="s">
        <v>596</v>
      </c>
      <c r="X125" s="171" t="s">
        <v>597</v>
      </c>
      <c r="Y125" s="171" t="s">
        <v>598</v>
      </c>
    </row>
    <row r="126" spans="2:25" x14ac:dyDescent="0.2">
      <c r="B126" t="s">
        <v>91</v>
      </c>
      <c r="C126" s="15" t="s">
        <v>599</v>
      </c>
      <c r="D126" s="15">
        <f>COUNTIF($B$92:$B$121,B126)</f>
        <v>7</v>
      </c>
      <c r="E126" s="174">
        <f>COUNTIFS('4. Capabilities Assessment'!$C$14:$C$43, '9. List &amp; Calc'!$C126 &amp; "*", '4. Capabilities Assessment'!$K$14:$K$43, "N/A")</f>
        <v>0</v>
      </c>
      <c r="F126" s="15">
        <f>COUNTIFS('4. Capabilities Assessment'!$C$14:$C$43, '9. List &amp; Calc'!$C126 &amp; "*", '4. Capabilities Assessment'!$K$14:$K$43, F$125 &amp; "*")</f>
        <v>2</v>
      </c>
      <c r="G126" s="15">
        <f>COUNTIFS('4. Capabilities Assessment'!$C$14:$C$43, '9. List &amp; Calc'!$C126 &amp; "*", '4. Capabilities Assessment'!$K$14:$K$43, G$125 &amp; "*")</f>
        <v>4</v>
      </c>
      <c r="H126" s="15">
        <f>COUNTIFS('4. Capabilities Assessment'!$C$14:$C$43, '9. List &amp; Calc'!$C126 &amp; "*", '4. Capabilities Assessment'!$K$14:$K$43, H$125 &amp; "*")</f>
        <v>1</v>
      </c>
      <c r="I126" s="15">
        <f>COUNTIFS('4. Capabilities Assessment'!$C$14:$C$43, '9. List &amp; Calc'!$C126 &amp; "*", '4. Capabilities Assessment'!$K$14:$K$43, I$125 &amp; "*")</f>
        <v>0</v>
      </c>
      <c r="J126" s="15">
        <f>COUNTIFS('4. Capabilities Assessment'!$C$14:$C$43, '9. List &amp; Calc'!$C126 &amp; "*", '4. Capabilities Assessment'!$K$14:$K$43, J$125 &amp; "*")</f>
        <v>0</v>
      </c>
      <c r="K126" s="176">
        <f>IF(E126 = D126,
        "N/A",
        IF(SUM(F126:J126) = 0,
              "",
               (F126+G126*2+H126*3+I126*4+J126*5)/SUM(F126:J126)
         )
)</f>
        <v>1.8571428571428572</v>
      </c>
      <c r="L126" s="174">
        <f>COUNTIFS('4. Capabilities Assessment'!$C$14:$C$43, '9. List &amp; Calc'!$C126 &amp; "*", '4. Capabilities Assessment'!M14:M43, "N/A")</f>
        <v>0</v>
      </c>
      <c r="M126" s="15">
        <f>COUNTIFS('4. Capabilities Assessment'!$C$14:$C$43, '9. List &amp; Calc'!$C126 &amp; "*", '4. Capabilities Assessment'!$M$14:$M$43, M$125 &amp; "*")</f>
        <v>1</v>
      </c>
      <c r="N126" s="15">
        <f>COUNTIFS('4. Capabilities Assessment'!$C$14:$C$43, '9. List &amp; Calc'!$C126 &amp; "*", '4. Capabilities Assessment'!$M$14:$M$43, N$125 &amp; "*")</f>
        <v>1</v>
      </c>
      <c r="O126" s="15">
        <f>COUNTIFS('4. Capabilities Assessment'!$C$14:$C$43, '9. List &amp; Calc'!$C126 &amp; "*", '4. Capabilities Assessment'!$M$14:$M$43, O$125 &amp; "*")</f>
        <v>3</v>
      </c>
      <c r="P126" s="15">
        <f>COUNTIFS('4. Capabilities Assessment'!$C$14:$C$43, '9. List &amp; Calc'!$C126 &amp; "*", '4. Capabilities Assessment'!$M$14:$M$43, P$125 &amp; "*")</f>
        <v>2</v>
      </c>
      <c r="Q126" s="15">
        <f>COUNTIFS('4. Capabilities Assessment'!$C$14:$C$43, '9. List &amp; Calc'!$C126 &amp; "*", '4. Capabilities Assessment'!$M$14:$M$43, Q$125 &amp; "*")</f>
        <v>0</v>
      </c>
      <c r="R126" s="176">
        <f>IF(L126 = D126,
        "N/A",
        IF(SUM(M126:Q126) = 0,
              "",
               (M126+N126*2+O126*3+P126*4+Q126*5)/SUM(M126:Q126)
         )
)</f>
        <v>2.8571428571428572</v>
      </c>
      <c r="S126" s="182">
        <f>R126-K126</f>
        <v>1</v>
      </c>
      <c r="T126" s="188">
        <f>AVERAGE(E92:E98)</f>
        <v>0.8571428571428571</v>
      </c>
      <c r="U126" s="185">
        <f>T126+S126</f>
        <v>1.8571428571428572</v>
      </c>
      <c r="W126" s="10">
        <f>COUNTIFS($B$58:$B$87,$B126,$L$58:$L$87, "High")</f>
        <v>0</v>
      </c>
      <c r="X126" s="10">
        <f t="shared" ref="X126:X131" si="10">COUNTIFS($B$58:$B$87,$B126,$L$58:$L$87, "Medium")</f>
        <v>5</v>
      </c>
      <c r="Y126" s="10">
        <f t="shared" ref="Y126:Y131" si="11">COUNTIFS($B$58:$B$87,$B126,$L$58:$L$87, "Low")</f>
        <v>2</v>
      </c>
    </row>
    <row r="127" spans="2:25" x14ac:dyDescent="0.2">
      <c r="B127" t="s">
        <v>168</v>
      </c>
      <c r="C127" s="15" t="s">
        <v>600</v>
      </c>
      <c r="D127" s="15">
        <f t="shared" ref="D127:D130" si="12">COUNTIF($B$92:$B$121,B127)</f>
        <v>6</v>
      </c>
      <c r="E127" s="175">
        <f>COUNTIFS('4. Capabilities Assessment'!$C$14:$C$43, '9. List &amp; Calc'!$C127 &amp; "*", '4. Capabilities Assessment'!$K$14:$K$43, "N/A")</f>
        <v>0</v>
      </c>
      <c r="F127" s="15">
        <f>COUNTIFS('4. Capabilities Assessment'!$C$14:$C$43, '9. List &amp; Calc'!$C127 &amp; "*", '4. Capabilities Assessment'!$K$14:$K$43, F$125 &amp; "*")</f>
        <v>2</v>
      </c>
      <c r="G127" s="15">
        <f>COUNTIFS('4. Capabilities Assessment'!$C$14:$C$43, '9. List &amp; Calc'!$C127 &amp; "*", '4. Capabilities Assessment'!$K$14:$K$43, G$125 &amp; "*")</f>
        <v>3</v>
      </c>
      <c r="H127" s="15">
        <f>COUNTIFS('4. Capabilities Assessment'!$C$14:$C$43, '9. List &amp; Calc'!$C127 &amp; "*", '4. Capabilities Assessment'!$K$14:$K$43, H$125 &amp; "*")</f>
        <v>1</v>
      </c>
      <c r="I127" s="15">
        <f>COUNTIFS('4. Capabilities Assessment'!$C$14:$C$43, '9. List &amp; Calc'!$C127 &amp; "*", '4. Capabilities Assessment'!$K$14:$K$43, I$125 &amp; "*")</f>
        <v>0</v>
      </c>
      <c r="J127" s="15">
        <f>COUNTIFS('4. Capabilities Assessment'!$C$14:$C$43, '9. List &amp; Calc'!$C127 &amp; "*", '4. Capabilities Assessment'!$K$14:$K$43, J$125 &amp; "*")</f>
        <v>0</v>
      </c>
      <c r="K127" s="176">
        <f t="shared" ref="K127:K130" si="13">IF(E127 = D127,
        "N/A",
        IF(SUM(F127:J127) = 0,
              "",
               (F127+G127*2+H127*3+I127*4+J127*5)/SUM(F127:J127)
         )
)</f>
        <v>1.8333333333333333</v>
      </c>
      <c r="L127" s="175">
        <f>COUNTIFS('4. Capabilities Assessment'!$C$14:$C$43, '9. List &amp; Calc'!$C127 &amp; "*", '4. Capabilities Assessment'!M15:M44, "N/A")</f>
        <v>0</v>
      </c>
      <c r="M127" s="15">
        <f>COUNTIFS('4. Capabilities Assessment'!$C$14:$C$43, '9. List &amp; Calc'!$C127 &amp; "*", '4. Capabilities Assessment'!$M$14:$M$43, M$125 &amp; "*")</f>
        <v>1</v>
      </c>
      <c r="N127" s="15">
        <f>COUNTIFS('4. Capabilities Assessment'!$C$14:$C$43, '9. List &amp; Calc'!$C127 &amp; "*", '4. Capabilities Assessment'!$M$14:$M$43, N$125 &amp; "*")</f>
        <v>0</v>
      </c>
      <c r="O127" s="15">
        <f>COUNTIFS('4. Capabilities Assessment'!$C$14:$C$43, '9. List &amp; Calc'!$C127 &amp; "*", '4. Capabilities Assessment'!$M$14:$M$43, O$125 &amp; "*")</f>
        <v>2</v>
      </c>
      <c r="P127" s="15">
        <f>COUNTIFS('4. Capabilities Assessment'!$C$14:$C$43, '9. List &amp; Calc'!$C127 &amp; "*", '4. Capabilities Assessment'!$M$14:$M$43, P$125 &amp; "*")</f>
        <v>3</v>
      </c>
      <c r="Q127" s="15">
        <f>COUNTIFS('4. Capabilities Assessment'!$C$14:$C$43, '9. List &amp; Calc'!$C127 &amp; "*", '4. Capabilities Assessment'!$M$14:$M$43, Q$125 &amp; "*")</f>
        <v>0</v>
      </c>
      <c r="R127" s="176">
        <f t="shared" ref="R127:R130" si="14">IF(L127 = D127,
        "N/A",
        IF(SUM(M127:Q127) = 0,
              "",
               (M127+N127*2+O127*3+P127*4+Q127*5)/SUM(M127:Q127)
         )
)</f>
        <v>3.1666666666666665</v>
      </c>
      <c r="S127" s="183">
        <f t="shared" ref="S127:S131" si="15">R127-K127</f>
        <v>1.3333333333333333</v>
      </c>
      <c r="T127" s="188">
        <f>AVERAGE(E99:E104)</f>
        <v>1</v>
      </c>
      <c r="U127" s="186">
        <f t="shared" ref="U127:U130" si="16">T127+S127</f>
        <v>2.333333333333333</v>
      </c>
      <c r="W127" s="10">
        <f>COUNTIFS($B$58:$B$87,B127,$L$58:$L$87, "High")</f>
        <v>1</v>
      </c>
      <c r="X127" s="10">
        <f t="shared" si="10"/>
        <v>3</v>
      </c>
      <c r="Y127" s="10">
        <f t="shared" si="11"/>
        <v>2</v>
      </c>
    </row>
    <row r="128" spans="2:25" x14ac:dyDescent="0.2">
      <c r="B128" t="s">
        <v>233</v>
      </c>
      <c r="C128" s="15" t="s">
        <v>601</v>
      </c>
      <c r="D128" s="15">
        <f t="shared" si="12"/>
        <v>5</v>
      </c>
      <c r="E128" s="175">
        <f>COUNTIFS('4. Capabilities Assessment'!$C$14:$C$43, '9. List &amp; Calc'!$C128 &amp; "*", '4. Capabilities Assessment'!$K$14:$K$43, "N/A")</f>
        <v>1</v>
      </c>
      <c r="F128" s="15">
        <f>COUNTIFS('4. Capabilities Assessment'!$C$14:$C$43, '9. List &amp; Calc'!$C128 &amp; "*", '4. Capabilities Assessment'!$K$14:$K$43, F$125 &amp; "*")</f>
        <v>1</v>
      </c>
      <c r="G128" s="15">
        <f>COUNTIFS('4. Capabilities Assessment'!$C$14:$C$43, '9. List &amp; Calc'!$C128 &amp; "*", '4. Capabilities Assessment'!$K$14:$K$43, G$125 &amp; "*")</f>
        <v>2</v>
      </c>
      <c r="H128" s="15">
        <f>COUNTIFS('4. Capabilities Assessment'!$C$14:$C$43, '9. List &amp; Calc'!$C128 &amp; "*", '4. Capabilities Assessment'!$K$14:$K$43, H$125 &amp; "*")</f>
        <v>1</v>
      </c>
      <c r="I128" s="15">
        <f>COUNTIFS('4. Capabilities Assessment'!$C$14:$C$43, '9. List &amp; Calc'!$C128 &amp; "*", '4. Capabilities Assessment'!$K$14:$K$43, I$125 &amp; "*")</f>
        <v>0</v>
      </c>
      <c r="J128" s="15">
        <f>COUNTIFS('4. Capabilities Assessment'!$C$14:$C$43, '9. List &amp; Calc'!$C128 &amp; "*", '4. Capabilities Assessment'!$K$14:$K$43, J$125 &amp; "*")</f>
        <v>0</v>
      </c>
      <c r="K128" s="176">
        <f t="shared" si="13"/>
        <v>2</v>
      </c>
      <c r="L128" s="175">
        <f>COUNTIFS('4. Capabilities Assessment'!$C$14:$C$43, '9. List &amp; Calc'!$C128 &amp; "*", '4. Capabilities Assessment'!M16:M45, "N/A")</f>
        <v>0</v>
      </c>
      <c r="M128" s="15">
        <f>COUNTIFS('4. Capabilities Assessment'!$C$14:$C$43, '9. List &amp; Calc'!$C128 &amp; "*", '4. Capabilities Assessment'!$M$14:$M$43, M$125 &amp; "*")</f>
        <v>1</v>
      </c>
      <c r="N128" s="15">
        <f>COUNTIFS('4. Capabilities Assessment'!$C$14:$C$43, '9. List &amp; Calc'!$C128 &amp; "*", '4. Capabilities Assessment'!$M$14:$M$43, N$125 &amp; "*")</f>
        <v>1</v>
      </c>
      <c r="O128" s="15">
        <f>COUNTIFS('4. Capabilities Assessment'!$C$14:$C$43, '9. List &amp; Calc'!$C128 &amp; "*", '4. Capabilities Assessment'!$M$14:$M$43, O$125 &amp; "*")</f>
        <v>2</v>
      </c>
      <c r="P128" s="15">
        <f>COUNTIFS('4. Capabilities Assessment'!$C$14:$C$43, '9. List &amp; Calc'!$C128 &amp; "*", '4. Capabilities Assessment'!$M$14:$M$43, P$125 &amp; "*")</f>
        <v>0</v>
      </c>
      <c r="Q128" s="15">
        <f>COUNTIFS('4. Capabilities Assessment'!$C$14:$C$43, '9. List &amp; Calc'!$C128 &amp; "*", '4. Capabilities Assessment'!$M$14:$M$43, Q$125 &amp; "*")</f>
        <v>1</v>
      </c>
      <c r="R128" s="176">
        <f t="shared" si="14"/>
        <v>2.8</v>
      </c>
      <c r="S128" s="183">
        <f t="shared" si="15"/>
        <v>0.79999999999999982</v>
      </c>
      <c r="T128" s="188">
        <f>AVERAGE(E105:E109)</f>
        <v>0.8</v>
      </c>
      <c r="U128" s="186">
        <f t="shared" si="16"/>
        <v>1.5999999999999999</v>
      </c>
      <c r="W128" s="10">
        <f>COUNTIFS($B$58:$B$87,B128,$L$58:$L$87, "High")</f>
        <v>0</v>
      </c>
      <c r="X128" s="10">
        <f t="shared" si="10"/>
        <v>4</v>
      </c>
      <c r="Y128" s="10">
        <f t="shared" si="11"/>
        <v>1</v>
      </c>
    </row>
    <row r="129" spans="2:25" x14ac:dyDescent="0.2">
      <c r="B129" t="s">
        <v>285</v>
      </c>
      <c r="C129" s="15" t="s">
        <v>602</v>
      </c>
      <c r="D129" s="15">
        <f t="shared" si="12"/>
        <v>6</v>
      </c>
      <c r="E129" s="175">
        <f>COUNTIFS('4. Capabilities Assessment'!$C$14:$C$43, '9. List &amp; Calc'!$C129 &amp; "*", '4. Capabilities Assessment'!$K$14:$K$43, "N/A")</f>
        <v>0</v>
      </c>
      <c r="F129" s="15">
        <f>COUNTIFS('4. Capabilities Assessment'!$C$14:$C$43, '9. List &amp; Calc'!$C129 &amp; "*", '4. Capabilities Assessment'!$K$14:$K$43, F$125 &amp; "*")</f>
        <v>2</v>
      </c>
      <c r="G129" s="15">
        <f>COUNTIFS('4. Capabilities Assessment'!$C$14:$C$43, '9. List &amp; Calc'!$C129 &amp; "*", '4. Capabilities Assessment'!$K$14:$K$43, G$125 &amp; "*")</f>
        <v>1</v>
      </c>
      <c r="H129" s="15">
        <f>COUNTIFS('4. Capabilities Assessment'!$C$14:$C$43, '9. List &amp; Calc'!$C129 &amp; "*", '4. Capabilities Assessment'!$K$14:$K$43, H$125 &amp; "*")</f>
        <v>0</v>
      </c>
      <c r="I129" s="15">
        <f>COUNTIFS('4. Capabilities Assessment'!$C$14:$C$43, '9. List &amp; Calc'!$C129 &amp; "*", '4. Capabilities Assessment'!$K$14:$K$43, I$125 &amp; "*")</f>
        <v>1</v>
      </c>
      <c r="J129" s="15">
        <f>COUNTIFS('4. Capabilities Assessment'!$C$14:$C$43, '9. List &amp; Calc'!$C129 &amp; "*", '4. Capabilities Assessment'!$K$14:$K$43, J$125 &amp; "*")</f>
        <v>1</v>
      </c>
      <c r="K129" s="176">
        <f t="shared" si="13"/>
        <v>2.6</v>
      </c>
      <c r="L129" s="175">
        <f>COUNTIFS('4. Capabilities Assessment'!$C$14:$C$43, '9. List &amp; Calc'!$C129 &amp; "*", '4. Capabilities Assessment'!M17:M46, "N/A")</f>
        <v>0</v>
      </c>
      <c r="M129" s="15">
        <f>COUNTIFS('4. Capabilities Assessment'!$C$14:$C$43, '9. List &amp; Calc'!$C129 &amp; "*", '4. Capabilities Assessment'!$M$14:$M$43, M$125 &amp; "*")</f>
        <v>1</v>
      </c>
      <c r="N129" s="15">
        <f>COUNTIFS('4. Capabilities Assessment'!$C$14:$C$43, '9. List &amp; Calc'!$C129 &amp; "*", '4. Capabilities Assessment'!$M$14:$M$43, N$125 &amp; "*")</f>
        <v>0</v>
      </c>
      <c r="O129" s="15">
        <f>COUNTIFS('4. Capabilities Assessment'!$C$14:$C$43, '9. List &amp; Calc'!$C129 &amp; "*", '4. Capabilities Assessment'!$M$14:$M$43, O$125 &amp; "*")</f>
        <v>1</v>
      </c>
      <c r="P129" s="15">
        <f>COUNTIFS('4. Capabilities Assessment'!$C$14:$C$43, '9. List &amp; Calc'!$C129 &amp; "*", '4. Capabilities Assessment'!$M$14:$M$43, P$125 &amp; "*")</f>
        <v>1</v>
      </c>
      <c r="Q129" s="15">
        <f>COUNTIFS('4. Capabilities Assessment'!$C$14:$C$43, '9. List &amp; Calc'!$C129 &amp; "*", '4. Capabilities Assessment'!$M$14:$M$43, Q$125 &amp; "*")</f>
        <v>2</v>
      </c>
      <c r="R129" s="176">
        <f t="shared" si="14"/>
        <v>3.6</v>
      </c>
      <c r="S129" s="183">
        <f t="shared" si="15"/>
        <v>1</v>
      </c>
      <c r="T129" s="188">
        <f>AVERAGE(E110:E115)</f>
        <v>1.1666666666666667</v>
      </c>
      <c r="U129" s="186">
        <f t="shared" si="16"/>
        <v>2.166666666666667</v>
      </c>
      <c r="W129" s="10">
        <f>COUNTIFS($B$58:$B$87,B129,$L$58:$L$87, "High")</f>
        <v>0</v>
      </c>
      <c r="X129" s="10">
        <f t="shared" si="10"/>
        <v>5</v>
      </c>
      <c r="Y129" s="10">
        <f t="shared" si="11"/>
        <v>1</v>
      </c>
    </row>
    <row r="130" spans="2:25" x14ac:dyDescent="0.2">
      <c r="B130" t="s">
        <v>423</v>
      </c>
      <c r="C130" s="15" t="s">
        <v>603</v>
      </c>
      <c r="D130" s="15">
        <f t="shared" si="12"/>
        <v>6</v>
      </c>
      <c r="E130" s="175">
        <f>COUNTIFS('4. Capabilities Assessment'!$C$14:$C$43, '9. List &amp; Calc'!$C130 &amp; "*", '4. Capabilities Assessment'!$K$14:$K$43, "N/A")</f>
        <v>0</v>
      </c>
      <c r="F130" s="15">
        <f>COUNTIFS('4. Capabilities Assessment'!$C$14:$C$43, '9. List &amp; Calc'!$C130 &amp; "*", '4. Capabilities Assessment'!$K$14:$K$43, F$125 &amp; "*")</f>
        <v>1</v>
      </c>
      <c r="G130" s="15">
        <f>COUNTIFS('4. Capabilities Assessment'!$C$14:$C$43, '9. List &amp; Calc'!$C130 &amp; "*", '4. Capabilities Assessment'!$K$14:$K$43, G$125 &amp; "*")</f>
        <v>3</v>
      </c>
      <c r="H130" s="15">
        <f>COUNTIFS('4. Capabilities Assessment'!$C$14:$C$43, '9. List &amp; Calc'!$C130 &amp; "*", '4. Capabilities Assessment'!$K$14:$K$43, H$125 &amp; "*")</f>
        <v>1</v>
      </c>
      <c r="I130" s="15">
        <f>COUNTIFS('4. Capabilities Assessment'!$C$14:$C$43, '9. List &amp; Calc'!$C130 &amp; "*", '4. Capabilities Assessment'!$K$14:$K$43, I$125 &amp; "*")</f>
        <v>1</v>
      </c>
      <c r="J130" s="15">
        <f>COUNTIFS('4. Capabilities Assessment'!$C$14:$C$43, '9. List &amp; Calc'!$C130 &amp; "*", '4. Capabilities Assessment'!$K$14:$K$43, J$125 &amp; "*")</f>
        <v>1</v>
      </c>
      <c r="K130" s="176">
        <f t="shared" si="13"/>
        <v>2.7142857142857144</v>
      </c>
      <c r="L130" s="175">
        <f>COUNTIFS('4. Capabilities Assessment'!$C$14:$C$43, '9. List &amp; Calc'!$C130 &amp; "*", '4. Capabilities Assessment'!M18:M47, "N/A")</f>
        <v>0</v>
      </c>
      <c r="M130" s="15">
        <f>COUNTIFS('4. Capabilities Assessment'!$C$14:$C$43, '9. List &amp; Calc'!$C130 &amp; "*", '4. Capabilities Assessment'!$M$14:$M$43, M$125 &amp; "*")</f>
        <v>0</v>
      </c>
      <c r="N130" s="15">
        <f>COUNTIFS('4. Capabilities Assessment'!$C$14:$C$43, '9. List &amp; Calc'!$C130 &amp; "*", '4. Capabilities Assessment'!$M$14:$M$43, N$125 &amp; "*")</f>
        <v>1</v>
      </c>
      <c r="O130" s="15">
        <f>COUNTIFS('4. Capabilities Assessment'!$C$14:$C$43, '9. List &amp; Calc'!$C130 &amp; "*", '4. Capabilities Assessment'!$M$14:$M$43, O$125 &amp; "*")</f>
        <v>2</v>
      </c>
      <c r="P130" s="15">
        <f>COUNTIFS('4. Capabilities Assessment'!$C$14:$C$43, '9. List &amp; Calc'!$C130 &amp; "*", '4. Capabilities Assessment'!$M$14:$M$43, P$125 &amp; "*")</f>
        <v>2</v>
      </c>
      <c r="Q130" s="15">
        <f>COUNTIFS('4. Capabilities Assessment'!$C$14:$C$43, '9. List &amp; Calc'!$C130 &amp; "*", '4. Capabilities Assessment'!$M$14:$M$43, Q$125 &amp; "*")</f>
        <v>2</v>
      </c>
      <c r="R130" s="176">
        <f t="shared" si="14"/>
        <v>3.7142857142857144</v>
      </c>
      <c r="S130" s="183">
        <f t="shared" si="15"/>
        <v>1</v>
      </c>
      <c r="T130" s="188">
        <f>AVERAGE(E116:E121)</f>
        <v>0.83333333333333337</v>
      </c>
      <c r="U130" s="186">
        <f t="shared" si="16"/>
        <v>1.8333333333333335</v>
      </c>
      <c r="W130" s="10">
        <f>COUNTIFS($B$58:$B$87,B130,$L$58:$L$87, "High")</f>
        <v>1</v>
      </c>
      <c r="X130" s="10">
        <f t="shared" si="10"/>
        <v>2</v>
      </c>
      <c r="Y130" s="10">
        <f t="shared" si="11"/>
        <v>3</v>
      </c>
    </row>
    <row r="131" spans="2:25" ht="15.75" thickBot="1" x14ac:dyDescent="0.3">
      <c r="B131" s="177" t="s">
        <v>604</v>
      </c>
      <c r="C131" s="178"/>
      <c r="D131" s="153"/>
      <c r="E131" s="181">
        <f>SUM(E126:E130)</f>
        <v>1</v>
      </c>
      <c r="F131" s="153">
        <f t="shared" ref="F131:J131" si="17">SUM(F126:F130)</f>
        <v>8</v>
      </c>
      <c r="G131" s="153">
        <f t="shared" si="17"/>
        <v>13</v>
      </c>
      <c r="H131" s="153">
        <f t="shared" si="17"/>
        <v>4</v>
      </c>
      <c r="I131" s="153">
        <f t="shared" si="17"/>
        <v>2</v>
      </c>
      <c r="J131" s="153">
        <f t="shared" si="17"/>
        <v>2</v>
      </c>
      <c r="K131" s="179">
        <f>AVERAGE(K126:K130)</f>
        <v>2.2009523809523812</v>
      </c>
      <c r="L131" s="181">
        <f>SUM(L126:L130)</f>
        <v>0</v>
      </c>
      <c r="M131" s="153">
        <f t="shared" ref="M131:Q131" si="18">SUM(M126:M130)</f>
        <v>4</v>
      </c>
      <c r="N131" s="153">
        <f t="shared" si="18"/>
        <v>3</v>
      </c>
      <c r="O131" s="153">
        <f t="shared" si="18"/>
        <v>10</v>
      </c>
      <c r="P131" s="153">
        <f t="shared" si="18"/>
        <v>8</v>
      </c>
      <c r="Q131" s="153">
        <f t="shared" si="18"/>
        <v>5</v>
      </c>
      <c r="R131" s="179">
        <f>AVERAGE(R126:R130)</f>
        <v>3.2276190476190472</v>
      </c>
      <c r="S131" s="184">
        <f t="shared" si="15"/>
        <v>1.026666666666666</v>
      </c>
      <c r="T131" s="187"/>
      <c r="U131" s="180"/>
      <c r="V131" s="178"/>
      <c r="W131" s="151">
        <f>COUNTIFS($B$58:$B$87,B131,$L$58:$L$87, "High")</f>
        <v>0</v>
      </c>
      <c r="X131" s="151">
        <f t="shared" si="10"/>
        <v>0</v>
      </c>
      <c r="Y131" s="151">
        <f t="shared" si="11"/>
        <v>0</v>
      </c>
    </row>
    <row r="132" spans="2:25" ht="15" thickBot="1" x14ac:dyDescent="0.25"/>
    <row r="133" spans="2:25" ht="27.6" customHeight="1" x14ac:dyDescent="0.2">
      <c r="B133" s="234" t="s">
        <v>481</v>
      </c>
      <c r="C133" s="234" t="s">
        <v>605</v>
      </c>
      <c r="E133" s="234" t="s">
        <v>606</v>
      </c>
      <c r="V133" s="189" t="s">
        <v>607</v>
      </c>
      <c r="W133" s="74" t="s">
        <v>608</v>
      </c>
    </row>
    <row r="134" spans="2:25" x14ac:dyDescent="0.2">
      <c r="B134" t="s">
        <v>447</v>
      </c>
      <c r="C134" t="s">
        <v>447</v>
      </c>
      <c r="E134" s="15">
        <v>1</v>
      </c>
      <c r="V134" s="400" t="s">
        <v>609</v>
      </c>
      <c r="W134" s="400"/>
    </row>
    <row r="135" spans="2:25" x14ac:dyDescent="0.2">
      <c r="B135" t="s">
        <v>14</v>
      </c>
      <c r="C135" t="s">
        <v>14</v>
      </c>
      <c r="E135" s="15">
        <v>2</v>
      </c>
    </row>
    <row r="136" spans="2:25" x14ac:dyDescent="0.2">
      <c r="B136" t="s">
        <v>12</v>
      </c>
      <c r="C136" t="s">
        <v>12</v>
      </c>
      <c r="E136" s="15">
        <v>3</v>
      </c>
    </row>
    <row r="137" spans="2:25" x14ac:dyDescent="0.2">
      <c r="B137" t="s">
        <v>10</v>
      </c>
      <c r="C137" t="s">
        <v>10</v>
      </c>
      <c r="E137" s="15">
        <v>4</v>
      </c>
    </row>
    <row r="138" spans="2:25" ht="15" thickBot="1" x14ac:dyDescent="0.25"/>
    <row r="139" spans="2:25" ht="15" thickBot="1" x14ac:dyDescent="0.25">
      <c r="B139" s="234" t="s">
        <v>610</v>
      </c>
      <c r="C139" s="234" t="s">
        <v>611</v>
      </c>
      <c r="E139" s="234" t="s">
        <v>612</v>
      </c>
      <c r="F139" s="234" t="s">
        <v>613</v>
      </c>
    </row>
    <row r="140" spans="2:25" x14ac:dyDescent="0.2">
      <c r="B140" s="75" t="s">
        <v>457</v>
      </c>
      <c r="C140" s="75">
        <v>1</v>
      </c>
      <c r="E140" s="15">
        <f>'2. Setup'!D42</f>
        <v>2026</v>
      </c>
      <c r="F140" s="15">
        <v>1</v>
      </c>
    </row>
    <row r="141" spans="2:25" x14ac:dyDescent="0.2">
      <c r="B141" s="37" t="s">
        <v>458</v>
      </c>
      <c r="C141" s="37">
        <v>2</v>
      </c>
      <c r="E141" s="15">
        <f>E140+1</f>
        <v>2027</v>
      </c>
      <c r="F141" s="15">
        <v>2</v>
      </c>
    </row>
    <row r="142" spans="2:25" x14ac:dyDescent="0.2">
      <c r="B142" s="76" t="s">
        <v>459</v>
      </c>
      <c r="C142" s="76">
        <v>3</v>
      </c>
      <c r="E142" s="15">
        <f>E141+1</f>
        <v>2028</v>
      </c>
      <c r="F142" s="15">
        <v>3</v>
      </c>
    </row>
    <row r="143" spans="2:25" x14ac:dyDescent="0.2">
      <c r="B143" s="37" t="s">
        <v>460</v>
      </c>
      <c r="C143" s="37">
        <v>4</v>
      </c>
      <c r="E143" s="15">
        <f>E142+1</f>
        <v>2029</v>
      </c>
      <c r="F143" s="15">
        <v>4</v>
      </c>
    </row>
    <row r="144" spans="2:25" x14ac:dyDescent="0.2">
      <c r="B144" s="76" t="s">
        <v>461</v>
      </c>
      <c r="C144" s="76">
        <v>5</v>
      </c>
    </row>
    <row r="145" spans="2:7" x14ac:dyDescent="0.2">
      <c r="B145" s="37" t="s">
        <v>462</v>
      </c>
      <c r="C145" s="37">
        <v>6</v>
      </c>
    </row>
    <row r="146" spans="2:7" x14ac:dyDescent="0.2">
      <c r="B146" s="76" t="s">
        <v>463</v>
      </c>
      <c r="C146" s="76">
        <v>7</v>
      </c>
    </row>
    <row r="147" spans="2:7" ht="15" thickBot="1" x14ac:dyDescent="0.25">
      <c r="B147" s="37" t="s">
        <v>464</v>
      </c>
      <c r="C147" s="37">
        <v>8</v>
      </c>
    </row>
    <row r="148" spans="2:7" ht="15.75" thickBot="1" x14ac:dyDescent="0.3">
      <c r="B148" s="76" t="s">
        <v>465</v>
      </c>
      <c r="C148" s="76">
        <v>9</v>
      </c>
      <c r="E148" s="344" t="s">
        <v>438</v>
      </c>
      <c r="F148" s="342" t="s">
        <v>614</v>
      </c>
      <c r="G148" s="342" t="s">
        <v>615</v>
      </c>
    </row>
    <row r="149" spans="2:7" x14ac:dyDescent="0.2">
      <c r="B149" s="37" t="s">
        <v>466</v>
      </c>
      <c r="C149" s="37">
        <v>10</v>
      </c>
      <c r="E149" s="345">
        <v>0</v>
      </c>
      <c r="F149" s="343" t="str">
        <f>'2. Setup'!D28 &amp; " - " &amp; '2. Setup'!E28</f>
        <v>Low - Other</v>
      </c>
      <c r="G149" s="343">
        <v>1</v>
      </c>
    </row>
    <row r="150" spans="2:7" x14ac:dyDescent="0.2">
      <c r="B150" s="76" t="s">
        <v>467</v>
      </c>
      <c r="C150" s="76">
        <v>11</v>
      </c>
      <c r="E150" s="15">
        <v>1</v>
      </c>
      <c r="F150" t="str">
        <f>'2. Setup'!D27 &amp; " - " &amp; '2. Setup'!E27</f>
        <v>Medium - Supports a priority opportunity</v>
      </c>
      <c r="G150">
        <v>2</v>
      </c>
    </row>
    <row r="151" spans="2:7" ht="15" thickBot="1" x14ac:dyDescent="0.25">
      <c r="B151" s="77" t="s">
        <v>468</v>
      </c>
      <c r="C151" s="77">
        <v>12</v>
      </c>
      <c r="E151" s="346">
        <v>2</v>
      </c>
      <c r="F151" s="341" t="str">
        <f>'2. Setup'!D26 &amp; " - " &amp; '2. Setup'!E26</f>
        <v>High - Supports multiple priority opportunities</v>
      </c>
      <c r="G151" s="341">
        <v>3</v>
      </c>
    </row>
    <row r="152" spans="2:7" ht="15" thickBot="1" x14ac:dyDescent="0.25"/>
    <row r="153" spans="2:7" ht="15.75" thickBot="1" x14ac:dyDescent="0.3">
      <c r="B153" s="1"/>
      <c r="C153" s="1"/>
      <c r="E153" s="344" t="s">
        <v>616</v>
      </c>
      <c r="F153" s="342" t="s">
        <v>614</v>
      </c>
      <c r="G153" s="342" t="s">
        <v>615</v>
      </c>
    </row>
    <row r="154" spans="2:7" x14ac:dyDescent="0.2">
      <c r="E154" s="345">
        <v>0</v>
      </c>
      <c r="F154" s="343" t="str">
        <f>'2. Setup'!D31 &amp; " - " &amp; '2. Setup'!E31</f>
        <v>Low - Foundational good practice</v>
      </c>
      <c r="G154" s="343">
        <v>1</v>
      </c>
    </row>
    <row r="155" spans="2:7" x14ac:dyDescent="0.2">
      <c r="E155" s="15">
        <v>1</v>
      </c>
      <c r="F155" t="str">
        <f>'2. Setup'!D30 &amp; " - " &amp; '2. Setup'!E30</f>
        <v>Medium - Mitigates a priority threat</v>
      </c>
      <c r="G155">
        <v>2</v>
      </c>
    </row>
    <row r="156" spans="2:7" ht="15" thickBot="1" x14ac:dyDescent="0.25">
      <c r="E156" s="346">
        <v>2</v>
      </c>
      <c r="F156" s="341" t="str">
        <f>'2. Setup'!D29 &amp; " - " &amp; '2. Setup'!E29</f>
        <v>High - Mitigates multiple priority threats</v>
      </c>
      <c r="G156" s="341">
        <v>3</v>
      </c>
    </row>
    <row r="157" spans="2:7" ht="15" thickBot="1" x14ac:dyDescent="0.25"/>
    <row r="158" spans="2:7" ht="15.75" thickBot="1" x14ac:dyDescent="0.3">
      <c r="E158" s="344" t="s">
        <v>617</v>
      </c>
      <c r="F158" s="342" t="s">
        <v>618</v>
      </c>
      <c r="G158" s="342" t="s">
        <v>8</v>
      </c>
    </row>
    <row r="159" spans="2:7" x14ac:dyDescent="0.2">
      <c r="B159" s="1"/>
      <c r="C159" s="1"/>
      <c r="E159" s="69" t="s">
        <v>447</v>
      </c>
      <c r="F159" s="75">
        <v>0</v>
      </c>
      <c r="G159" s="303">
        <v>0</v>
      </c>
    </row>
    <row r="160" spans="2:7" x14ac:dyDescent="0.2">
      <c r="B160" s="1"/>
      <c r="C160" s="1"/>
      <c r="E160" s="1" t="s">
        <v>14</v>
      </c>
      <c r="F160" s="37">
        <v>1</v>
      </c>
      <c r="G160" s="304">
        <f>'2. Setup'!G11</f>
        <v>5000</v>
      </c>
    </row>
    <row r="161" spans="2:7" x14ac:dyDescent="0.2">
      <c r="B161" s="1"/>
      <c r="C161" s="1"/>
      <c r="E161" s="70" t="s">
        <v>12</v>
      </c>
      <c r="F161" s="76">
        <v>2</v>
      </c>
      <c r="G161" s="305">
        <f>'2. Setup'!G10</f>
        <v>50000</v>
      </c>
    </row>
    <row r="162" spans="2:7" ht="15" thickBot="1" x14ac:dyDescent="0.25">
      <c r="E162" s="71" t="s">
        <v>10</v>
      </c>
      <c r="F162" s="77">
        <v>3</v>
      </c>
      <c r="G162" s="306">
        <f>'2. Setup'!G9</f>
        <v>120000</v>
      </c>
    </row>
    <row r="163" spans="2:7" ht="15" thickBot="1" x14ac:dyDescent="0.25"/>
    <row r="164" spans="2:7" ht="15.75" thickBot="1" x14ac:dyDescent="0.3">
      <c r="E164" s="344" t="s">
        <v>619</v>
      </c>
      <c r="F164" s="342" t="s">
        <v>618</v>
      </c>
      <c r="G164" s="342" t="s">
        <v>8</v>
      </c>
    </row>
    <row r="165" spans="2:7" x14ac:dyDescent="0.2">
      <c r="E165" s="69" t="s">
        <v>447</v>
      </c>
      <c r="F165" s="75">
        <v>0</v>
      </c>
      <c r="G165" s="235">
        <v>0</v>
      </c>
    </row>
    <row r="166" spans="2:7" x14ac:dyDescent="0.2">
      <c r="E166" s="1" t="s">
        <v>14</v>
      </c>
      <c r="F166" s="37">
        <v>1</v>
      </c>
      <c r="G166" s="236">
        <f>'2. Setup'!G14</f>
        <v>5000</v>
      </c>
    </row>
    <row r="167" spans="2:7" x14ac:dyDescent="0.2">
      <c r="E167" s="70" t="s">
        <v>12</v>
      </c>
      <c r="F167" s="76">
        <v>2</v>
      </c>
      <c r="G167" s="237">
        <f>'2. Setup'!G13</f>
        <v>50000</v>
      </c>
    </row>
    <row r="168" spans="2:7" ht="15" thickBot="1" x14ac:dyDescent="0.25">
      <c r="E168" s="71" t="s">
        <v>10</v>
      </c>
      <c r="F168" s="77">
        <v>3</v>
      </c>
      <c r="G168" s="238">
        <f>'2. Setup'!G12</f>
        <v>120000</v>
      </c>
    </row>
    <row r="169" spans="2:7" ht="15" thickBot="1" x14ac:dyDescent="0.25"/>
    <row r="170" spans="2:7" ht="15.75" thickBot="1" x14ac:dyDescent="0.3">
      <c r="E170" s="342" t="s">
        <v>435</v>
      </c>
      <c r="F170" s="342" t="s">
        <v>618</v>
      </c>
      <c r="G170" s="342" t="s">
        <v>8</v>
      </c>
    </row>
    <row r="171" spans="2:7" x14ac:dyDescent="0.2">
      <c r="E171" s="343" t="s">
        <v>447</v>
      </c>
      <c r="F171" s="75">
        <v>0</v>
      </c>
      <c r="G171" s="343">
        <v>0</v>
      </c>
    </row>
    <row r="172" spans="2:7" x14ac:dyDescent="0.2">
      <c r="E172" t="s">
        <v>14</v>
      </c>
      <c r="F172" s="37">
        <v>1</v>
      </c>
      <c r="G172">
        <f>'2. Setup'!G17</f>
        <v>30</v>
      </c>
    </row>
    <row r="173" spans="2:7" x14ac:dyDescent="0.2">
      <c r="E173" s="340" t="s">
        <v>12</v>
      </c>
      <c r="F173" s="76">
        <v>2</v>
      </c>
      <c r="G173" s="340">
        <f>'2. Setup'!G16</f>
        <v>120</v>
      </c>
    </row>
    <row r="174" spans="2:7" ht="15" thickBot="1" x14ac:dyDescent="0.25">
      <c r="E174" s="178" t="s">
        <v>10</v>
      </c>
      <c r="F174" s="77">
        <v>3</v>
      </c>
      <c r="G174" s="178">
        <f>'2. Setup'!G15</f>
        <v>240</v>
      </c>
    </row>
    <row r="175" spans="2:7" ht="15" thickBot="1" x14ac:dyDescent="0.25"/>
    <row r="176" spans="2:7" ht="15.75" thickBot="1" x14ac:dyDescent="0.3">
      <c r="E176" s="342" t="s">
        <v>436</v>
      </c>
      <c r="F176" s="342" t="s">
        <v>618</v>
      </c>
      <c r="G176" s="342" t="s">
        <v>8</v>
      </c>
    </row>
    <row r="177" spans="2:7" x14ac:dyDescent="0.2">
      <c r="E177" s="343" t="s">
        <v>447</v>
      </c>
      <c r="F177" s="75">
        <v>0</v>
      </c>
      <c r="G177" s="343">
        <v>0</v>
      </c>
    </row>
    <row r="178" spans="2:7" x14ac:dyDescent="0.2">
      <c r="E178" t="s">
        <v>14</v>
      </c>
      <c r="F178" s="37">
        <v>1</v>
      </c>
      <c r="G178">
        <f>'2. Setup'!G20</f>
        <v>0.05</v>
      </c>
    </row>
    <row r="179" spans="2:7" x14ac:dyDescent="0.2">
      <c r="E179" s="340" t="s">
        <v>12</v>
      </c>
      <c r="F179" s="76">
        <v>2</v>
      </c>
      <c r="G179" s="340">
        <f>'2. Setup'!G19</f>
        <v>0.25</v>
      </c>
    </row>
    <row r="180" spans="2:7" ht="15" thickBot="1" x14ac:dyDescent="0.25">
      <c r="E180" s="178" t="s">
        <v>10</v>
      </c>
      <c r="F180" s="77">
        <v>3</v>
      </c>
      <c r="G180" s="178">
        <f>'2. Setup'!G18</f>
        <v>0.5</v>
      </c>
    </row>
    <row r="182" spans="2:7" ht="15.75" thickBot="1" x14ac:dyDescent="0.3">
      <c r="B182" s="336" t="s">
        <v>415</v>
      </c>
      <c r="C182" s="328" t="s">
        <v>416</v>
      </c>
      <c r="D182" s="329" t="s">
        <v>620</v>
      </c>
      <c r="E182" s="328" t="s">
        <v>621</v>
      </c>
      <c r="F182" s="347" t="s">
        <v>622</v>
      </c>
      <c r="G182" s="328" t="s">
        <v>623</v>
      </c>
    </row>
    <row r="183" spans="2:7" ht="15" thickTop="1" x14ac:dyDescent="0.2">
      <c r="B183" s="337">
        <v>1</v>
      </c>
      <c r="C183" s="330" t="str">
        <f>IF('5. Initiative List'!C6="","", '5. Initiative List'!C6)</f>
        <v>Implement Secure SDLC Requirements Gathering Templates</v>
      </c>
      <c r="D183" s="331">
        <f t="shared" ref="D183:D222" si="19">IF(C183="", "", SUMIF($L$92:$L$120, C183, $E$92:$E$121))</f>
        <v>2</v>
      </c>
      <c r="E183" s="331">
        <f t="shared" ref="E183:E222" si="20">IF(C183="", "", SUMIF($L$92:$L$120, C183, $F$92:$F$121))</f>
        <v>3</v>
      </c>
      <c r="F183" s="348" t="str">
        <f>IF($C183="","",IF(D183=$E$149,$F$149,IF(D183=$E$150,$F$150,$F$151)))</f>
        <v>High - Supports multiple priority opportunities</v>
      </c>
      <c r="G183" s="348" t="str">
        <f t="shared" ref="G183:G222" si="21">IF($C183="","",IF(E183=$E$154,$F$154,IF(E183=$E$155,$F$155,$F$156)))</f>
        <v>High - Mitigates multiple priority threats</v>
      </c>
    </row>
    <row r="184" spans="2:7" x14ac:dyDescent="0.2">
      <c r="B184" s="338">
        <v>2</v>
      </c>
      <c r="C184" s="332" t="str">
        <f>IF('5. Initiative List'!C7="","", '5. Initiative List'!C7)</f>
        <v>Deploy Threat Modeling Automation Tools (e.g. ThreatSpec, IriusRisk)</v>
      </c>
      <c r="D184" s="333">
        <f t="shared" si="19"/>
        <v>0</v>
      </c>
      <c r="E184" s="333">
        <f t="shared" si="20"/>
        <v>0</v>
      </c>
      <c r="F184" s="349" t="str">
        <f t="shared" ref="F184:F222" si="22">IF($C184="","",IF(D184=$E$149,$F$149,IF(D184=$E$150,$F$150,$F$151)))</f>
        <v>Low - Other</v>
      </c>
      <c r="G184" s="349" t="str">
        <f t="shared" si="21"/>
        <v>Low - Foundational good practice</v>
      </c>
    </row>
    <row r="185" spans="2:7" x14ac:dyDescent="0.2">
      <c r="B185" s="339">
        <v>3</v>
      </c>
      <c r="C185" s="334" t="str">
        <f>IF('5. Initiative List'!C8="","", '5. Initiative List'!C8)</f>
        <v>Establish Secure Architecture Review Board</v>
      </c>
      <c r="D185" s="335">
        <f t="shared" si="19"/>
        <v>3</v>
      </c>
      <c r="E185" s="335">
        <f t="shared" si="20"/>
        <v>3</v>
      </c>
      <c r="F185" s="350" t="str">
        <f t="shared" si="22"/>
        <v>High - Supports multiple priority opportunities</v>
      </c>
      <c r="G185" s="350" t="str">
        <f t="shared" si="21"/>
        <v>High - Mitigates multiple priority threats</v>
      </c>
    </row>
    <row r="186" spans="2:7" x14ac:dyDescent="0.2">
      <c r="B186" s="338">
        <v>4</v>
      </c>
      <c r="C186" s="332" t="str">
        <f>IF('5. Initiative List'!C9="","", '5. Initiative List'!C9)</f>
        <v>Implement Secure AI/ML Design Controls &amp; Data Lineage Tracking</v>
      </c>
      <c r="D186" s="333">
        <f t="shared" si="19"/>
        <v>0</v>
      </c>
      <c r="E186" s="333">
        <f t="shared" si="20"/>
        <v>0</v>
      </c>
      <c r="F186" s="349" t="str">
        <f t="shared" si="22"/>
        <v>Low - Other</v>
      </c>
      <c r="G186" s="349" t="str">
        <f t="shared" si="21"/>
        <v>Low - Foundational good practice</v>
      </c>
    </row>
    <row r="187" spans="2:7" x14ac:dyDescent="0.2">
      <c r="B187" s="339">
        <v>5</v>
      </c>
      <c r="C187" s="334" t="str">
        <f>IF('5. Initiative List'!C10="","", '5. Initiative List'!C10)</f>
        <v>Train Developers on Secure Coding Practices (OWASP Top 10)</v>
      </c>
      <c r="D187" s="335">
        <f t="shared" si="19"/>
        <v>2</v>
      </c>
      <c r="E187" s="335">
        <f t="shared" si="20"/>
        <v>3</v>
      </c>
      <c r="F187" s="350" t="str">
        <f t="shared" si="22"/>
        <v>High - Supports multiple priority opportunities</v>
      </c>
      <c r="G187" s="350" t="str">
        <f t="shared" si="21"/>
        <v>High - Mitigates multiple priority threats</v>
      </c>
    </row>
    <row r="188" spans="2:7" x14ac:dyDescent="0.2">
      <c r="B188" s="338">
        <v>6</v>
      </c>
      <c r="C188" s="332" t="str">
        <f>IF('5. Initiative List'!C11="","", '5. Initiative List'!C11)</f>
        <v>Integrate SAST Tools Into CI Pipeline</v>
      </c>
      <c r="D188" s="333">
        <f t="shared" si="19"/>
        <v>2</v>
      </c>
      <c r="E188" s="333">
        <f t="shared" si="20"/>
        <v>3</v>
      </c>
      <c r="F188" s="349" t="str">
        <f t="shared" si="22"/>
        <v>High - Supports multiple priority opportunities</v>
      </c>
      <c r="G188" s="349" t="str">
        <f t="shared" si="21"/>
        <v>High - Mitigates multiple priority threats</v>
      </c>
    </row>
    <row r="189" spans="2:7" x14ac:dyDescent="0.2">
      <c r="B189" s="339">
        <v>7</v>
      </c>
      <c r="C189" s="334" t="str">
        <f>IF('5. Initiative List'!C12="","", '5. Initiative List'!C12)</f>
        <v>Automate Software Composition Analysis &amp; Supply Chain Scanning</v>
      </c>
      <c r="D189" s="335">
        <f t="shared" si="19"/>
        <v>1</v>
      </c>
      <c r="E189" s="335">
        <f t="shared" si="20"/>
        <v>0</v>
      </c>
      <c r="F189" s="350" t="str">
        <f t="shared" si="22"/>
        <v>Medium - Supports a priority opportunity</v>
      </c>
      <c r="G189" s="350" t="str">
        <f t="shared" si="21"/>
        <v>Low - Foundational good practice</v>
      </c>
    </row>
    <row r="190" spans="2:7" x14ac:dyDescent="0.2">
      <c r="B190" s="338">
        <v>8</v>
      </c>
      <c r="C190" s="332" t="str">
        <f>IF('5. Initiative List'!C13="","", '5. Initiative List'!C13)</f>
        <v>Enhance CI/CD Pipelines With Secrets Scanning &amp; Signing Tools</v>
      </c>
      <c r="D190" s="333">
        <f t="shared" si="19"/>
        <v>2</v>
      </c>
      <c r="E190" s="333">
        <f t="shared" si="20"/>
        <v>4</v>
      </c>
      <c r="F190" s="349" t="str">
        <f t="shared" si="22"/>
        <v>High - Supports multiple priority opportunities</v>
      </c>
      <c r="G190" s="349" t="str">
        <f t="shared" si="21"/>
        <v>High - Mitigates multiple priority threats</v>
      </c>
    </row>
    <row r="191" spans="2:7" x14ac:dyDescent="0.2">
      <c r="B191" s="339">
        <v>9</v>
      </c>
      <c r="C191" s="334" t="str">
        <f>IF('5. Initiative List'!C14="","", '5. Initiative List'!C14)</f>
        <v>Implement IaC and Container Security Scanning</v>
      </c>
      <c r="D191" s="335">
        <f t="shared" si="19"/>
        <v>1</v>
      </c>
      <c r="E191" s="335">
        <f t="shared" si="20"/>
        <v>0</v>
      </c>
      <c r="F191" s="350" t="str">
        <f t="shared" si="22"/>
        <v>Medium - Supports a priority opportunity</v>
      </c>
      <c r="G191" s="350" t="str">
        <f t="shared" si="21"/>
        <v>Low - Foundational good practice</v>
      </c>
    </row>
    <row r="192" spans="2:7" x14ac:dyDescent="0.2">
      <c r="B192" s="338">
        <v>10</v>
      </c>
      <c r="C192" s="332" t="str">
        <f>IF('5. Initiative List'!C15="","", '5. Initiative List'!C15)</f>
        <v>Adopt Policy-as-Code for Automated Security Governance</v>
      </c>
      <c r="D192" s="333">
        <f t="shared" si="19"/>
        <v>3</v>
      </c>
      <c r="E192" s="333">
        <f t="shared" si="20"/>
        <v>1</v>
      </c>
      <c r="F192" s="349" t="str">
        <f t="shared" si="22"/>
        <v>High - Supports multiple priority opportunities</v>
      </c>
      <c r="G192" s="349" t="str">
        <f t="shared" si="21"/>
        <v>Medium - Mitigates a priority threat</v>
      </c>
    </row>
    <row r="193" spans="2:7" x14ac:dyDescent="0.2">
      <c r="B193" s="339">
        <v>11</v>
      </c>
      <c r="C193" s="334" t="str">
        <f>IF('5. Initiative List'!C16="","", '5. Initiative List'!C16)</f>
        <v>Establish Fuzzing and Red Team Engagement Programs</v>
      </c>
      <c r="D193" s="335">
        <f t="shared" si="19"/>
        <v>1</v>
      </c>
      <c r="E193" s="335">
        <f t="shared" si="20"/>
        <v>2</v>
      </c>
      <c r="F193" s="350" t="str">
        <f t="shared" si="22"/>
        <v>Medium - Supports a priority opportunity</v>
      </c>
      <c r="G193" s="350" t="str">
        <f t="shared" si="21"/>
        <v>High - Mitigates multiple priority threats</v>
      </c>
    </row>
    <row r="194" spans="2:7" x14ac:dyDescent="0.2">
      <c r="B194" s="338">
        <v>12</v>
      </c>
      <c r="C194" s="332" t="str">
        <f>IF('5. Initiative List'!C17="","", '5. Initiative List'!C17)</f>
        <v>Deploy Centralized Security Monitoring and Threat Detection Tools</v>
      </c>
      <c r="D194" s="333">
        <f t="shared" si="19"/>
        <v>2</v>
      </c>
      <c r="E194" s="333">
        <f t="shared" si="20"/>
        <v>7</v>
      </c>
      <c r="F194" s="349" t="str">
        <f t="shared" si="22"/>
        <v>High - Supports multiple priority opportunities</v>
      </c>
      <c r="G194" s="349" t="str">
        <f t="shared" si="21"/>
        <v>High - Mitigates multiple priority threats</v>
      </c>
    </row>
    <row r="195" spans="2:7" x14ac:dyDescent="0.2">
      <c r="B195" s="339">
        <v>13</v>
      </c>
      <c r="C195" s="334" t="str">
        <f>IF('5. Initiative List'!C18="","", '5. Initiative List'!C18)</f>
        <v>Integrate Patch Management &amp; Vulnerability Scanning Automation</v>
      </c>
      <c r="D195" s="335">
        <f t="shared" si="19"/>
        <v>3</v>
      </c>
      <c r="E195" s="335">
        <f t="shared" si="20"/>
        <v>1</v>
      </c>
      <c r="F195" s="350" t="str">
        <f t="shared" si="22"/>
        <v>High - Supports multiple priority opportunities</v>
      </c>
      <c r="G195" s="350" t="str">
        <f t="shared" si="21"/>
        <v>Medium - Mitigates a priority threat</v>
      </c>
    </row>
    <row r="196" spans="2:7" x14ac:dyDescent="0.2">
      <c r="B196" s="338">
        <v>14</v>
      </c>
      <c r="C196" s="332" t="str">
        <f>IF('5. Initiative List'!C19="","", '5. Initiative List'!C19)</f>
        <v>Launch Responsible Disclosure &amp; Bug Bounty Program</v>
      </c>
      <c r="D196" s="333">
        <f t="shared" si="19"/>
        <v>1</v>
      </c>
      <c r="E196" s="333">
        <f t="shared" si="20"/>
        <v>1</v>
      </c>
      <c r="F196" s="349" t="str">
        <f t="shared" si="22"/>
        <v>Medium - Supports a priority opportunity</v>
      </c>
      <c r="G196" s="349" t="str">
        <f t="shared" si="21"/>
        <v>Medium - Mitigates a priority threat</v>
      </c>
    </row>
    <row r="197" spans="2:7" x14ac:dyDescent="0.2">
      <c r="B197" s="339">
        <v>15</v>
      </c>
      <c r="C197" s="334" t="str">
        <f>IF('5. Initiative List'!C20="","", '5. Initiative List'!C20)</f>
        <v>Develop AI Risk Governance Framework</v>
      </c>
      <c r="D197" s="335">
        <f t="shared" si="19"/>
        <v>0</v>
      </c>
      <c r="E197" s="335">
        <f t="shared" si="20"/>
        <v>0</v>
      </c>
      <c r="F197" s="350" t="str">
        <f t="shared" si="22"/>
        <v>Low - Other</v>
      </c>
      <c r="G197" s="350" t="str">
        <f t="shared" si="21"/>
        <v>Low - Foundational good practice</v>
      </c>
    </row>
    <row r="198" spans="2:7" x14ac:dyDescent="0.2">
      <c r="B198" s="338">
        <v>16</v>
      </c>
      <c r="C198" s="332" t="str">
        <f>IF('5. Initiative List'!C21="","", '5. Initiative List'!C21)</f>
        <v/>
      </c>
      <c r="D198" s="332" t="str">
        <f t="shared" si="19"/>
        <v/>
      </c>
      <c r="E198" s="333" t="str">
        <f t="shared" si="20"/>
        <v/>
      </c>
      <c r="F198" s="349" t="str">
        <f t="shared" si="22"/>
        <v/>
      </c>
      <c r="G198" s="349" t="str">
        <f t="shared" si="21"/>
        <v/>
      </c>
    </row>
    <row r="199" spans="2:7" x14ac:dyDescent="0.2">
      <c r="B199" s="339">
        <v>17</v>
      </c>
      <c r="C199" s="334" t="str">
        <f>IF('5. Initiative List'!C22="","", '5. Initiative List'!C22)</f>
        <v/>
      </c>
      <c r="D199" s="334" t="str">
        <f t="shared" si="19"/>
        <v/>
      </c>
      <c r="E199" s="335" t="str">
        <f t="shared" si="20"/>
        <v/>
      </c>
      <c r="F199" s="350" t="str">
        <f t="shared" si="22"/>
        <v/>
      </c>
      <c r="G199" s="350" t="str">
        <f t="shared" si="21"/>
        <v/>
      </c>
    </row>
    <row r="200" spans="2:7" x14ac:dyDescent="0.2">
      <c r="B200" s="338">
        <v>18</v>
      </c>
      <c r="C200" s="332" t="str">
        <f>IF('5. Initiative List'!C23="","", '5. Initiative List'!C23)</f>
        <v/>
      </c>
      <c r="D200" s="332" t="str">
        <f t="shared" si="19"/>
        <v/>
      </c>
      <c r="E200" s="333" t="str">
        <f t="shared" si="20"/>
        <v/>
      </c>
      <c r="F200" s="349" t="str">
        <f t="shared" si="22"/>
        <v/>
      </c>
      <c r="G200" s="349" t="str">
        <f t="shared" si="21"/>
        <v/>
      </c>
    </row>
    <row r="201" spans="2:7" x14ac:dyDescent="0.2">
      <c r="B201" s="339">
        <v>19</v>
      </c>
      <c r="C201" s="334" t="str">
        <f>IF('5. Initiative List'!C24="","", '5. Initiative List'!C24)</f>
        <v/>
      </c>
      <c r="D201" s="334" t="str">
        <f t="shared" si="19"/>
        <v/>
      </c>
      <c r="E201" s="335" t="str">
        <f t="shared" si="20"/>
        <v/>
      </c>
      <c r="F201" s="350" t="str">
        <f t="shared" si="22"/>
        <v/>
      </c>
      <c r="G201" s="350" t="str">
        <f t="shared" si="21"/>
        <v/>
      </c>
    </row>
    <row r="202" spans="2:7" x14ac:dyDescent="0.2">
      <c r="B202" s="338">
        <v>20</v>
      </c>
      <c r="C202" s="332" t="str">
        <f>IF('5. Initiative List'!C25="","", '5. Initiative List'!C25)</f>
        <v/>
      </c>
      <c r="D202" s="332" t="str">
        <f t="shared" si="19"/>
        <v/>
      </c>
      <c r="E202" s="333" t="str">
        <f t="shared" si="20"/>
        <v/>
      </c>
      <c r="F202" s="349" t="str">
        <f t="shared" si="22"/>
        <v/>
      </c>
      <c r="G202" s="349" t="str">
        <f t="shared" si="21"/>
        <v/>
      </c>
    </row>
    <row r="203" spans="2:7" x14ac:dyDescent="0.2">
      <c r="B203" s="339">
        <v>21</v>
      </c>
      <c r="C203" s="334" t="str">
        <f>IF('5. Initiative List'!C26="","", '5. Initiative List'!C26)</f>
        <v/>
      </c>
      <c r="D203" s="334" t="str">
        <f t="shared" si="19"/>
        <v/>
      </c>
      <c r="E203" s="335" t="str">
        <f t="shared" si="20"/>
        <v/>
      </c>
      <c r="F203" s="350" t="str">
        <f t="shared" si="22"/>
        <v/>
      </c>
      <c r="G203" s="350" t="str">
        <f t="shared" si="21"/>
        <v/>
      </c>
    </row>
    <row r="204" spans="2:7" x14ac:dyDescent="0.2">
      <c r="B204" s="338">
        <v>22</v>
      </c>
      <c r="C204" s="332" t="str">
        <f>IF('5. Initiative List'!C27="","", '5. Initiative List'!C27)</f>
        <v/>
      </c>
      <c r="D204" s="332" t="str">
        <f t="shared" si="19"/>
        <v/>
      </c>
      <c r="E204" s="333" t="str">
        <f t="shared" si="20"/>
        <v/>
      </c>
      <c r="F204" s="349" t="str">
        <f t="shared" si="22"/>
        <v/>
      </c>
      <c r="G204" s="349" t="str">
        <f t="shared" si="21"/>
        <v/>
      </c>
    </row>
    <row r="205" spans="2:7" x14ac:dyDescent="0.2">
      <c r="B205" s="339">
        <v>23</v>
      </c>
      <c r="C205" s="334" t="str">
        <f>IF('5. Initiative List'!C28="","", '5. Initiative List'!C28)</f>
        <v/>
      </c>
      <c r="D205" s="334" t="str">
        <f t="shared" si="19"/>
        <v/>
      </c>
      <c r="E205" s="335" t="str">
        <f t="shared" si="20"/>
        <v/>
      </c>
      <c r="F205" s="350" t="str">
        <f t="shared" si="22"/>
        <v/>
      </c>
      <c r="G205" s="350" t="str">
        <f t="shared" si="21"/>
        <v/>
      </c>
    </row>
    <row r="206" spans="2:7" x14ac:dyDescent="0.2">
      <c r="B206" s="338">
        <v>24</v>
      </c>
      <c r="C206" s="332" t="str">
        <f>IF('5. Initiative List'!C29="","", '5. Initiative List'!C29)</f>
        <v/>
      </c>
      <c r="D206" s="332" t="str">
        <f t="shared" si="19"/>
        <v/>
      </c>
      <c r="E206" s="333" t="str">
        <f t="shared" si="20"/>
        <v/>
      </c>
      <c r="F206" s="349" t="str">
        <f t="shared" si="22"/>
        <v/>
      </c>
      <c r="G206" s="349" t="str">
        <f t="shared" si="21"/>
        <v/>
      </c>
    </row>
    <row r="207" spans="2:7" x14ac:dyDescent="0.2">
      <c r="B207" s="339">
        <v>25</v>
      </c>
      <c r="C207" s="334" t="str">
        <f>IF('5. Initiative List'!C30="","", '5. Initiative List'!C30)</f>
        <v/>
      </c>
      <c r="D207" s="334" t="str">
        <f t="shared" si="19"/>
        <v/>
      </c>
      <c r="E207" s="335" t="str">
        <f t="shared" si="20"/>
        <v/>
      </c>
      <c r="F207" s="350" t="str">
        <f t="shared" si="22"/>
        <v/>
      </c>
      <c r="G207" s="350" t="str">
        <f t="shared" si="21"/>
        <v/>
      </c>
    </row>
    <row r="208" spans="2:7" x14ac:dyDescent="0.2">
      <c r="B208" s="338">
        <v>26</v>
      </c>
      <c r="C208" s="332" t="str">
        <f>IF('5. Initiative List'!C31="","", '5. Initiative List'!C31)</f>
        <v/>
      </c>
      <c r="D208" s="332" t="str">
        <f t="shared" si="19"/>
        <v/>
      </c>
      <c r="E208" s="333" t="str">
        <f t="shared" si="20"/>
        <v/>
      </c>
      <c r="F208" s="349" t="str">
        <f t="shared" si="22"/>
        <v/>
      </c>
      <c r="G208" s="349" t="str">
        <f t="shared" si="21"/>
        <v/>
      </c>
    </row>
    <row r="209" spans="2:10" x14ac:dyDescent="0.2">
      <c r="B209" s="339">
        <v>27</v>
      </c>
      <c r="C209" s="334" t="str">
        <f>IF('5. Initiative List'!C32="","", '5. Initiative List'!C32)</f>
        <v/>
      </c>
      <c r="D209" s="334" t="str">
        <f t="shared" si="19"/>
        <v/>
      </c>
      <c r="E209" s="335" t="str">
        <f t="shared" si="20"/>
        <v/>
      </c>
      <c r="F209" s="350" t="str">
        <f t="shared" si="22"/>
        <v/>
      </c>
      <c r="G209" s="350" t="str">
        <f t="shared" si="21"/>
        <v/>
      </c>
    </row>
    <row r="210" spans="2:10" x14ac:dyDescent="0.2">
      <c r="B210" s="338">
        <v>28</v>
      </c>
      <c r="C210" s="332" t="str">
        <f>IF('5. Initiative List'!C33="","", '5. Initiative List'!C33)</f>
        <v/>
      </c>
      <c r="D210" s="332" t="str">
        <f t="shared" si="19"/>
        <v/>
      </c>
      <c r="E210" s="333" t="str">
        <f t="shared" si="20"/>
        <v/>
      </c>
      <c r="F210" s="349" t="str">
        <f t="shared" si="22"/>
        <v/>
      </c>
      <c r="G210" s="349" t="str">
        <f t="shared" si="21"/>
        <v/>
      </c>
    </row>
    <row r="211" spans="2:10" x14ac:dyDescent="0.2">
      <c r="B211" s="339">
        <v>29</v>
      </c>
      <c r="C211" s="334" t="str">
        <f>IF('5. Initiative List'!C34="","", '5. Initiative List'!C34)</f>
        <v/>
      </c>
      <c r="D211" s="334" t="str">
        <f t="shared" si="19"/>
        <v/>
      </c>
      <c r="E211" s="335" t="str">
        <f t="shared" si="20"/>
        <v/>
      </c>
      <c r="F211" s="350" t="str">
        <f t="shared" si="22"/>
        <v/>
      </c>
      <c r="G211" s="350" t="str">
        <f t="shared" si="21"/>
        <v/>
      </c>
    </row>
    <row r="212" spans="2:10" x14ac:dyDescent="0.2">
      <c r="B212" s="338">
        <v>30</v>
      </c>
      <c r="C212" s="332" t="str">
        <f>IF('5. Initiative List'!C35="","", '5. Initiative List'!C35)</f>
        <v/>
      </c>
      <c r="D212" s="332" t="str">
        <f t="shared" si="19"/>
        <v/>
      </c>
      <c r="E212" s="333" t="str">
        <f t="shared" si="20"/>
        <v/>
      </c>
      <c r="F212" s="349" t="str">
        <f t="shared" si="22"/>
        <v/>
      </c>
      <c r="G212" s="349" t="str">
        <f t="shared" si="21"/>
        <v/>
      </c>
    </row>
    <row r="213" spans="2:10" x14ac:dyDescent="0.2">
      <c r="B213" s="339">
        <v>31</v>
      </c>
      <c r="C213" s="334" t="str">
        <f>IF('5. Initiative List'!C36="","", '5. Initiative List'!C36)</f>
        <v/>
      </c>
      <c r="D213" s="334" t="str">
        <f t="shared" si="19"/>
        <v/>
      </c>
      <c r="E213" s="335" t="str">
        <f t="shared" si="20"/>
        <v/>
      </c>
      <c r="F213" s="350" t="str">
        <f t="shared" si="22"/>
        <v/>
      </c>
      <c r="G213" s="350" t="str">
        <f t="shared" si="21"/>
        <v/>
      </c>
    </row>
    <row r="214" spans="2:10" x14ac:dyDescent="0.2">
      <c r="B214" s="338">
        <v>32</v>
      </c>
      <c r="C214" s="332" t="str">
        <f>IF('5. Initiative List'!C37="","", '5. Initiative List'!C37)</f>
        <v/>
      </c>
      <c r="D214" s="332" t="str">
        <f t="shared" si="19"/>
        <v/>
      </c>
      <c r="E214" s="333" t="str">
        <f t="shared" si="20"/>
        <v/>
      </c>
      <c r="F214" s="349" t="str">
        <f t="shared" si="22"/>
        <v/>
      </c>
      <c r="G214" s="349" t="str">
        <f t="shared" si="21"/>
        <v/>
      </c>
    </row>
    <row r="215" spans="2:10" x14ac:dyDescent="0.2">
      <c r="B215" s="339">
        <v>33</v>
      </c>
      <c r="C215" s="334" t="str">
        <f>IF('5. Initiative List'!C38="","", '5. Initiative List'!C38)</f>
        <v/>
      </c>
      <c r="D215" s="334" t="str">
        <f t="shared" si="19"/>
        <v/>
      </c>
      <c r="E215" s="335" t="str">
        <f t="shared" si="20"/>
        <v/>
      </c>
      <c r="F215" s="350" t="str">
        <f t="shared" si="22"/>
        <v/>
      </c>
      <c r="G215" s="350" t="str">
        <f t="shared" si="21"/>
        <v/>
      </c>
    </row>
    <row r="216" spans="2:10" x14ac:dyDescent="0.2">
      <c r="B216" s="338">
        <v>34</v>
      </c>
      <c r="C216" s="332" t="str">
        <f>IF('5. Initiative List'!C39="","", '5. Initiative List'!C39)</f>
        <v/>
      </c>
      <c r="D216" s="332" t="str">
        <f t="shared" si="19"/>
        <v/>
      </c>
      <c r="E216" s="333" t="str">
        <f t="shared" si="20"/>
        <v/>
      </c>
      <c r="F216" s="349" t="str">
        <f t="shared" si="22"/>
        <v/>
      </c>
      <c r="G216" s="349" t="str">
        <f t="shared" si="21"/>
        <v/>
      </c>
    </row>
    <row r="217" spans="2:10" x14ac:dyDescent="0.2">
      <c r="B217" s="339">
        <v>35</v>
      </c>
      <c r="C217" s="334" t="str">
        <f>IF('5. Initiative List'!C40="","", '5. Initiative List'!C40)</f>
        <v/>
      </c>
      <c r="D217" s="334" t="str">
        <f t="shared" si="19"/>
        <v/>
      </c>
      <c r="E217" s="335" t="str">
        <f t="shared" si="20"/>
        <v/>
      </c>
      <c r="F217" s="350" t="str">
        <f t="shared" si="22"/>
        <v/>
      </c>
      <c r="G217" s="350" t="str">
        <f t="shared" si="21"/>
        <v/>
      </c>
    </row>
    <row r="218" spans="2:10" x14ac:dyDescent="0.2">
      <c r="B218" s="338">
        <v>36</v>
      </c>
      <c r="C218" s="332" t="str">
        <f>IF('5. Initiative List'!C41="","", '5. Initiative List'!C41)</f>
        <v/>
      </c>
      <c r="D218" s="332" t="str">
        <f t="shared" si="19"/>
        <v/>
      </c>
      <c r="E218" s="333" t="str">
        <f t="shared" si="20"/>
        <v/>
      </c>
      <c r="F218" s="349" t="str">
        <f t="shared" si="22"/>
        <v/>
      </c>
      <c r="G218" s="349" t="str">
        <f t="shared" si="21"/>
        <v/>
      </c>
      <c r="I218" t="str" cm="1">
        <f t="array" ref="I218:J218">_xlfn.TEXTSPLIT(G227, ",")</f>
        <v>Security Requirements Definition</v>
      </c>
      <c r="J218" t="str">
        <v xml:space="preserve"> Security Requirements Validation</v>
      </c>
    </row>
    <row r="219" spans="2:10" x14ac:dyDescent="0.2">
      <c r="B219" s="339">
        <v>37</v>
      </c>
      <c r="C219" s="334" t="str">
        <f>IF('5. Initiative List'!C42="","", '5. Initiative List'!C42)</f>
        <v/>
      </c>
      <c r="D219" s="334" t="str">
        <f t="shared" si="19"/>
        <v/>
      </c>
      <c r="E219" s="335" t="str">
        <f t="shared" si="20"/>
        <v/>
      </c>
      <c r="F219" s="350" t="str">
        <f t="shared" si="22"/>
        <v/>
      </c>
      <c r="G219" s="350" t="str">
        <f t="shared" si="21"/>
        <v/>
      </c>
    </row>
    <row r="220" spans="2:10" x14ac:dyDescent="0.2">
      <c r="B220" s="338">
        <v>38</v>
      </c>
      <c r="C220" s="332" t="str">
        <f>IF('5. Initiative List'!C43="","", '5. Initiative List'!C43)</f>
        <v/>
      </c>
      <c r="D220" s="332" t="str">
        <f t="shared" si="19"/>
        <v/>
      </c>
      <c r="E220" s="333" t="str">
        <f t="shared" si="20"/>
        <v/>
      </c>
      <c r="F220" s="349" t="str">
        <f t="shared" si="22"/>
        <v/>
      </c>
      <c r="G220" s="349" t="str">
        <f t="shared" si="21"/>
        <v/>
      </c>
      <c r="H220">
        <f>_xlfn.XMATCH(H226, '10. Capability Matrix'!C6:K6)</f>
        <v>2</v>
      </c>
    </row>
    <row r="221" spans="2:10" x14ac:dyDescent="0.2">
      <c r="B221" s="339">
        <v>39</v>
      </c>
      <c r="C221" s="334" t="str">
        <f>IF('5. Initiative List'!C44="","", '5. Initiative List'!C44)</f>
        <v/>
      </c>
      <c r="D221" s="334" t="str">
        <f t="shared" si="19"/>
        <v/>
      </c>
      <c r="E221" s="335" t="str">
        <f t="shared" si="20"/>
        <v/>
      </c>
      <c r="F221" s="350" t="str">
        <f t="shared" si="22"/>
        <v/>
      </c>
      <c r="G221" s="350" t="str">
        <f t="shared" si="21"/>
        <v/>
      </c>
    </row>
    <row r="222" spans="2:10" x14ac:dyDescent="0.2">
      <c r="B222" s="338">
        <v>40</v>
      </c>
      <c r="C222" s="332" t="str">
        <f>IF('5. Initiative List'!C45="","", '5. Initiative List'!C45)</f>
        <v/>
      </c>
      <c r="D222" s="332" t="str">
        <f t="shared" si="19"/>
        <v/>
      </c>
      <c r="E222" s="333" t="str">
        <f t="shared" si="20"/>
        <v/>
      </c>
      <c r="F222" s="349" t="str">
        <f t="shared" si="22"/>
        <v/>
      </c>
      <c r="G222" s="349" t="str">
        <f t="shared" si="21"/>
        <v/>
      </c>
    </row>
    <row r="226" spans="2:14" ht="15.75" thickBot="1" x14ac:dyDescent="0.3">
      <c r="B226" s="353" t="s">
        <v>624</v>
      </c>
      <c r="C226" t="s">
        <v>625</v>
      </c>
      <c r="E226" s="361" t="s">
        <v>415</v>
      </c>
      <c r="F226" s="328" t="s">
        <v>416</v>
      </c>
      <c r="G226" s="328" t="s">
        <v>570</v>
      </c>
      <c r="H226" s="328" t="str">
        <f>IF('3. Goals'!$C$9="", "", '3. Goals'!$C$9)</f>
        <v>Faster time to value for new products.</v>
      </c>
      <c r="I226" s="328" t="str">
        <f>IF('3. Goals'!$C$10="", "", '3. Goals'!$C$10)</f>
        <v>Reduce cyber‑insurance premiums and borrowing costs.</v>
      </c>
      <c r="J226" s="328" t="str">
        <f>IF('3. Goals'!$C$11="", "", '3. Goals'!$C$11)</f>
        <v>Complete technology M&amp;A integrations faster.</v>
      </c>
      <c r="K226" s="328" t="str">
        <f>IF('3. Goals'!$C$20="", "", '3. Goals'!$C$20)</f>
        <v>Business‑logic abuse through exposed APIs.</v>
      </c>
      <c r="L226" s="328" t="str">
        <f>IF('3. Goals'!$C$21="", "", '3. Goals'!$C$21)</f>
        <v>Ransomware beachhead via vulnerable web apps.</v>
      </c>
      <c r="M226" s="328" t="str">
        <f>IF('3. Goals'!$C$22="", "", '3. Goals'!$C$22)</f>
        <v>Insider misuse or privileged‑user abuse of critical functions.</v>
      </c>
    </row>
    <row r="227" spans="2:14" ht="15" thickTop="1" x14ac:dyDescent="0.2">
      <c r="B227" s="354" t="s">
        <v>170</v>
      </c>
      <c r="C227">
        <v>7</v>
      </c>
      <c r="E227" s="362">
        <v>1</v>
      </c>
      <c r="F227" s="330" t="str">
        <f>IF('5. Initiative List'!C6="", "", '5. Initiative List'!C6)</f>
        <v>Implement Secure SDLC Requirements Gathering Templates</v>
      </c>
      <c r="G227" s="330" t="str" cm="1">
        <f t="array" ref="G227">IF(F227="", "", _xlfn.TEXTJOIN(", ", TRUE,
   IF('4. Capabilities Assessment'!$N$2:$N$43=$F227,
      '4. Capabilities Assessment'!$D$2:$D$43, "")))</f>
        <v>Security Requirements Definition, Security Requirements Validation</v>
      </c>
      <c r="H227" s="331" t="str" cm="1">
        <f t="array" ref="H227">IF(F227="", "", IF(
   SUMPRODUCT(
     --('4. Capabilities Assessment'!$N$14:$N$43 = $F227),
     --(IFERROR(
           INDEX(
              '10. Capability Matrix'!$B$7:$K$36,
              MATCH('4. Capabilities Assessment'!$D$14:$D$43, '10. Capability Matrix'!$B$7:$B$36, 0),
              _xlfn.XMATCH(H$226,'10. Capability Matrix'!$C$6:$K$6, 0)+1
           ),
        "") = "X")
   )&gt;0,
   "X",""))</f>
        <v>X</v>
      </c>
      <c r="I227" s="331" t="str" cm="1">
        <f t="array" ref="I227">IF(G227="", "", IF(
   SUMPRODUCT(
     --('4. Capabilities Assessment'!$N$14:$N$43 = $F227),
     --(IFERROR(
           INDEX(
              '10. Capability Matrix'!$B$7:$K$36,
              MATCH('4. Capabilities Assessment'!$D$14:$D$43, '10. Capability Matrix'!$B$7:$B$36, 0),
              _xlfn.XMATCH(I$226,'10. Capability Matrix'!$C$6:$K$6, 0)+1
           ),
        "") = "X")
   )&gt;0,
   "X",""))</f>
        <v/>
      </c>
      <c r="J227" s="331" t="str" cm="1">
        <f t="array" ref="J227">IF(H227="", "", IF(
   SUMPRODUCT(
     --('4. Capabilities Assessment'!$N$14:$N$43 = $F227),
     --(IFERROR(
           INDEX(
              '10. Capability Matrix'!$B$7:$K$36,
              MATCH('4. Capabilities Assessment'!$D$14:$D$43, '10. Capability Matrix'!$B$7:$B$36, 0),
              _xlfn.XMATCH(J$226,'10. Capability Matrix'!$C$6:$K$6, 0)+1
           ),
        "") = "X")
   )&gt;0,
   "X",""))</f>
        <v>X</v>
      </c>
      <c r="K227" s="331" t="str" cm="1">
        <f t="array" ref="K227">IF(I227="", "", IF(
   SUMPRODUCT(
     --('4. Capabilities Assessment'!$N$14:$N$43 = $F227),
     --(IFERROR(
           INDEX(
              '10. Capability Matrix'!$B$43:$K$73,
              MATCH('4. Capabilities Assessment'!$D$14:$D$43, '10. Capability Matrix'!$B$44:$B$73, 0),
              _xlfn.XMATCH(K$226,'10. Capability Matrix'!$C$43:$K$43, 0)+1
           ),
        "") = "X")
   )&gt;0,
   "X",""))</f>
        <v/>
      </c>
      <c r="L227" s="331" t="str" cm="1">
        <f t="array" ref="L227">IF(J227="", "", IF(
   SUMPRODUCT(
     --('4. Capabilities Assessment'!$N$14:$N$43 = $F227),
     --(IFERROR(
           INDEX(
              '10. Capability Matrix'!$B$43:$K$73,
              MATCH('4. Capabilities Assessment'!$D$14:$D$43, '10. Capability Matrix'!$B$44:$B$73, 0),
              _xlfn.XMATCH(L$226,'10. Capability Matrix'!$C$43:$K$43, 0)+1
           ),
        "") = "X")
   )&gt;0,
   "X",""))</f>
        <v/>
      </c>
      <c r="M227" s="331" t="str" cm="1">
        <f t="array" ref="M227">IF(K227="", "", IF(
   SUMPRODUCT(
     --('4. Capabilities Assessment'!$N$14:$N$43 = $F227),
     --(IFERROR(
           INDEX(
              '10. Capability Matrix'!$B$43:$K$73,
              MATCH('4. Capabilities Assessment'!$D$14:$D$43, '10. Capability Matrix'!$B$44:$B$73, 0),
              _xlfn.XMATCH(M$226,'10. Capability Matrix'!$C$43:$K$43, 0)+1
           ),
        "") = "X")
   )&gt;0,
   "X",""))</f>
        <v/>
      </c>
      <c r="N227" t="str" cm="1">
        <f t="array" ref="N227">IF(L227="", "", IF(
   SUMPRODUCT(
     --('4. Capabilities Assessment'!$N$14:$N$43 = $F227),
     --(IFERROR(
           INDEX(
              '10. Capability Matrix'!$B$43:$K$73,
              MATCH('4. Capabilities Assessment'!$D$14:$D$43, '10. Capability Matrix'!$B$44:$B$73, 0),
              _xlfn.XMATCH(N$226,'10. Capability Matrix'!$C$43:$K$43, 0)+1
           ),
        "") = "X")
   )&gt;0,
   "X",""))</f>
        <v/>
      </c>
    </row>
    <row r="228" spans="2:14" x14ac:dyDescent="0.2">
      <c r="B228" s="354" t="s">
        <v>235</v>
      </c>
      <c r="C228">
        <v>5</v>
      </c>
      <c r="E228" s="363">
        <v>2</v>
      </c>
      <c r="F228" s="332" t="str">
        <f>IF('5. Initiative List'!C7="", "", '5. Initiative List'!C7)</f>
        <v>Deploy Threat Modeling Automation Tools (e.g. ThreatSpec, IriusRisk)</v>
      </c>
      <c r="G228" s="332" t="str" cm="1">
        <f t="array" ref="G228">IF(F228="", "", _xlfn.TEXTJOIN(", ", TRUE,
   IF('4. Capabilities Assessment'!$N$2:$N$43=$F228,
      '4. Capabilities Assessment'!$D$2:$D$43, "")))</f>
        <v/>
      </c>
      <c r="H228" s="333" t="str" cm="1">
        <f t="array" ref="H228">IF(F228="", "", IF(
   SUMPRODUCT(
     --('4. Capabilities Assessment'!$N$14:$N$43 = $F228),
     --(IFERROR(
           INDEX(
              '10. Capability Matrix'!$B$7:$K$36,
              MATCH('4. Capabilities Assessment'!$D$14:$D$43, '10. Capability Matrix'!$B$7:$B$36, 0),
              _xlfn.XMATCH(H$226,'10. Capability Matrix'!$C$6:$K$6, 0)+1
           ),
        "") = "X")
   )&gt;0,
   "X",""))</f>
        <v/>
      </c>
      <c r="I228" s="333" t="str" cm="1">
        <f t="array" ref="I228">IF(G228="", "", IF(
   SUMPRODUCT(
     --('4. Capabilities Assessment'!$N$14:$N$43 = $F228),
     --(IFERROR(
           INDEX(
              '10. Capability Matrix'!$B$7:$K$36,
              MATCH('4. Capabilities Assessment'!$D$14:$D$43, '10. Capability Matrix'!$B$7:$B$36, 0),
              _xlfn.XMATCH(I$226,'10. Capability Matrix'!$C$6:$K$6, 0)+1
           ),
        "") = "X")
   )&gt;0,
   "X",""))</f>
        <v/>
      </c>
      <c r="J228" s="333" t="str" cm="1">
        <f t="array" ref="J228">IF(H228="", "", IF(
   SUMPRODUCT(
     --('4. Capabilities Assessment'!$N$14:$N$43 = $F228),
     --(IFERROR(
           INDEX(
              '10. Capability Matrix'!$B$7:$K$36,
              MATCH('4. Capabilities Assessment'!$D$14:$D$43, '10. Capability Matrix'!$B$7:$B$36, 0),
              _xlfn.XMATCH(J$226,'10. Capability Matrix'!$C$6:$K$6, 0)+1
           ),
        "") = "X")
   )&gt;0,
   "X",""))</f>
        <v/>
      </c>
      <c r="K228" s="333" t="str" cm="1">
        <f t="array" ref="K228">IF(I228="", "", IF(
   SUMPRODUCT(
     --('4. Capabilities Assessment'!$N$14:$N$43 = $F228),
     --(IFERROR(
           INDEX(
              '10. Capability Matrix'!$B$43:$K$73,
              MATCH('4. Capabilities Assessment'!$D$14:$D$43, '10. Capability Matrix'!$B$44:$B$73, 0),
              _xlfn.XMATCH(K$226,'10. Capability Matrix'!$C$43:$K$43, 0)+1
           ),
        "") = "X")
   )&gt;0,
   "X",""))</f>
        <v/>
      </c>
      <c r="L228" s="333" t="str" cm="1">
        <f t="array" ref="L228">IF(J228="", "", IF(
   SUMPRODUCT(
     --('4. Capabilities Assessment'!$N$14:$N$43 = $F228),
     --(IFERROR(
           INDEX(
              '10. Capability Matrix'!$B$43:$K$73,
              MATCH('4. Capabilities Assessment'!$D$14:$D$43, '10. Capability Matrix'!$B$44:$B$73, 0),
              _xlfn.XMATCH(L$226,'10. Capability Matrix'!$C$43:$K$43, 0)+1
           ),
        "") = "X")
   )&gt;0,
   "X",""))</f>
        <v/>
      </c>
      <c r="M228" s="333" t="str" cm="1">
        <f t="array" ref="M228">IF(K228="", "", IF(
   SUMPRODUCT(
     --('4. Capabilities Assessment'!$N$14:$N$43 = $F228),
     --(IFERROR(
           INDEX(
              '10. Capability Matrix'!$B$43:$K$73,
              MATCH('4. Capabilities Assessment'!$D$14:$D$43, '10. Capability Matrix'!$B$44:$B$73, 0),
              _xlfn.XMATCH(M$226,'10. Capability Matrix'!$C$43:$K$43, 0)+1
           ),
        "") = "X")
   )&gt;0,
   "X",""))</f>
        <v/>
      </c>
      <c r="N228" t="str" cm="1">
        <f t="array" ref="N228">IF(L228="", "", IF(
   SUMPRODUCT(
     --('4. Capabilities Assessment'!$N$14:$N$43 = $F228),
     --(IFERROR(
           INDEX(
              '10. Capability Matrix'!$B$43:$K$73,
              MATCH('4. Capabilities Assessment'!$D$14:$D$43, '10. Capability Matrix'!$B$44:$B$73, 0),
              _xlfn.XMATCH(N$226,'10. Capability Matrix'!$C$43:$K$43, 0)+1
           ),
        "") = "X")
   )&gt;0,
   "X",""))</f>
        <v/>
      </c>
    </row>
    <row r="229" spans="2:14" x14ac:dyDescent="0.2">
      <c r="B229" s="354" t="s">
        <v>104</v>
      </c>
      <c r="C229">
        <v>5</v>
      </c>
      <c r="E229" s="364">
        <v>3</v>
      </c>
      <c r="F229" s="334" t="str">
        <f>IF('5. Initiative List'!C8="", "", '5. Initiative List'!C8)</f>
        <v>Establish Secure Architecture Review Board</v>
      </c>
      <c r="G229" s="334" t="str" cm="1">
        <f t="array" ref="G229">IF(F229="", "", _xlfn.TEXTJOIN(", ", TRUE,
   IF('4. Capabilities Assessment'!$N$2:$N$43=$F229,
      '4. Capabilities Assessment'!$D$2:$D$43, "")))</f>
        <v>Secure Architecture Design, Zero Trust Architecture, Secure AI/ML Design</v>
      </c>
      <c r="H229" s="335" t="str" cm="1">
        <f t="array" ref="H229">IF(F229="", "", IF(
   SUMPRODUCT(
     --('4. Capabilities Assessment'!$N$14:$N$43 = $F229),
     --(IFERROR(
           INDEX(
              '10. Capability Matrix'!$B$7:$K$36,
              MATCH('4. Capabilities Assessment'!$D$14:$D$43, '10. Capability Matrix'!$B$7:$B$36, 0),
              _xlfn.XMATCH(H$226,'10. Capability Matrix'!$C$6:$K$6, 0)+1
           ),
        "") = "X")
   )&gt;0,
   "X",""))</f>
        <v>X</v>
      </c>
      <c r="I229" s="335" t="str" cm="1">
        <f t="array" ref="I229">IF(G229="", "", IF(
   SUMPRODUCT(
     --('4. Capabilities Assessment'!$N$14:$N$43 = $F229),
     --(IFERROR(
           INDEX(
              '10. Capability Matrix'!$B$7:$K$36,
              MATCH('4. Capabilities Assessment'!$D$14:$D$43, '10. Capability Matrix'!$B$7:$B$36, 0),
              _xlfn.XMATCH(I$226,'10. Capability Matrix'!$C$6:$K$6, 0)+1
           ),
        "") = "X")
   )&gt;0,
   "X",""))</f>
        <v/>
      </c>
      <c r="J229" s="335" t="str" cm="1">
        <f t="array" ref="J229">IF(H229="", "", IF(
   SUMPRODUCT(
     --('4. Capabilities Assessment'!$N$14:$N$43 = $F229),
     --(IFERROR(
           INDEX(
              '10. Capability Matrix'!$B$7:$K$36,
              MATCH('4. Capabilities Assessment'!$D$14:$D$43, '10. Capability Matrix'!$B$7:$B$36, 0),
              _xlfn.XMATCH(J$226,'10. Capability Matrix'!$C$6:$K$6, 0)+1
           ),
        "") = "X")
   )&gt;0,
   "X",""))</f>
        <v>X</v>
      </c>
      <c r="K229" s="335" t="str" cm="1">
        <f t="array" ref="K229">IF(I229="", "", IF(
   SUMPRODUCT(
     --('4. Capabilities Assessment'!$N$14:$N$43 = $F229),
     --(IFERROR(
           INDEX(
              '10. Capability Matrix'!$B$43:$K$73,
              MATCH('4. Capabilities Assessment'!$D$14:$D$43, '10. Capability Matrix'!$B$44:$B$73, 0),
              _xlfn.XMATCH(K$226,'10. Capability Matrix'!$C$43:$K$43, 0)+1
           ),
        "") = "X")
   )&gt;0,
   "X",""))</f>
        <v/>
      </c>
      <c r="L229" s="335" t="str" cm="1">
        <f t="array" ref="L229">IF(J229="", "", IF(
   SUMPRODUCT(
     --('4. Capabilities Assessment'!$N$14:$N$43 = $F229),
     --(IFERROR(
           INDEX(
              '10. Capability Matrix'!$B$43:$K$73,
              MATCH('4. Capabilities Assessment'!$D$14:$D$43, '10. Capability Matrix'!$B$44:$B$73, 0),
              _xlfn.XMATCH(L$226,'10. Capability Matrix'!$C$43:$K$43, 0)+1
           ),
        "") = "X")
   )&gt;0,
   "X",""))</f>
        <v>X</v>
      </c>
      <c r="M229" s="335" t="str" cm="1">
        <f t="array" ref="M229">IF(K229="", "", IF(
   SUMPRODUCT(
     --('4. Capabilities Assessment'!$N$14:$N$43 = $F229),
     --(IFERROR(
           INDEX(
              '10. Capability Matrix'!$B$43:$K$73,
              MATCH('4. Capabilities Assessment'!$D$14:$D$43, '10. Capability Matrix'!$B$44:$B$73, 0),
              _xlfn.XMATCH(M$226,'10. Capability Matrix'!$C$43:$K$43, 0)+1
           ),
        "") = "X")
   )&gt;0,
   "X",""))</f>
        <v/>
      </c>
      <c r="N229" t="str" cm="1">
        <f t="array" ref="N229">IF(L229="", "", IF(
   SUMPRODUCT(
     --('4. Capabilities Assessment'!$N$14:$N$43 = $F229),
     --(IFERROR(
           INDEX(
              '10. Capability Matrix'!$B$43:$K$73,
              MATCH('4. Capabilities Assessment'!$D$14:$D$43, '10. Capability Matrix'!$B$44:$B$73, 0),
              _xlfn.XMATCH(N$226,'10. Capability Matrix'!$C$43:$K$43, 0)+1
           ),
        "") = "X")
   )&gt;0,
   "X",""))</f>
        <v/>
      </c>
    </row>
    <row r="230" spans="2:14" x14ac:dyDescent="0.2">
      <c r="B230" s="354" t="s">
        <v>340</v>
      </c>
      <c r="C230">
        <v>5</v>
      </c>
      <c r="E230" s="363">
        <v>4</v>
      </c>
      <c r="F230" s="332" t="str">
        <f>IF('5. Initiative List'!C9="", "", '5. Initiative List'!C9)</f>
        <v>Implement Secure AI/ML Design Controls &amp; Data Lineage Tracking</v>
      </c>
      <c r="G230" s="332" t="str" cm="1">
        <f t="array" ref="G230">IF(F230="", "", _xlfn.TEXTJOIN(", ", TRUE,
   IF('4. Capabilities Assessment'!$N$2:$N$43=$F230,
      '4. Capabilities Assessment'!$D$2:$D$43, "")))</f>
        <v>AI/ML Training Data Collection Security</v>
      </c>
      <c r="H230" s="333" t="str" cm="1">
        <f t="array" ref="H230">IF(F230="", "", IF(
   SUMPRODUCT(
     --('4. Capabilities Assessment'!$N$14:$N$43 = $F230),
     --(IFERROR(
           INDEX(
              '10. Capability Matrix'!$B$7:$K$36,
              MATCH('4. Capabilities Assessment'!$D$14:$D$43, '10. Capability Matrix'!$B$7:$B$36, 0),
              _xlfn.XMATCH(H$226,'10. Capability Matrix'!$C$6:$K$6, 0)+1
           ),
        "") = "X")
   )&gt;0,
   "X",""))</f>
        <v/>
      </c>
      <c r="I230" s="333" t="str" cm="1">
        <f t="array" ref="I230">IF(G230="", "", IF(
   SUMPRODUCT(
     --('4. Capabilities Assessment'!$N$14:$N$43 = $F230),
     --(IFERROR(
           INDEX(
              '10. Capability Matrix'!$B$7:$K$36,
              MATCH('4. Capabilities Assessment'!$D$14:$D$43, '10. Capability Matrix'!$B$7:$B$36, 0),
              _xlfn.XMATCH(I$226,'10. Capability Matrix'!$C$6:$K$6, 0)+1
           ),
        "") = "X")
   )&gt;0,
   "X",""))</f>
        <v/>
      </c>
      <c r="J230" s="333" t="str" cm="1">
        <f t="array" ref="J230">IF(H230="", "", IF(
   SUMPRODUCT(
     --('4. Capabilities Assessment'!$N$14:$N$43 = $F230),
     --(IFERROR(
           INDEX(
              '10. Capability Matrix'!$B$7:$K$36,
              MATCH('4. Capabilities Assessment'!$D$14:$D$43, '10. Capability Matrix'!$B$7:$B$36, 0),
              _xlfn.XMATCH(J$226,'10. Capability Matrix'!$C$6:$K$6, 0)+1
           ),
        "") = "X")
   )&gt;0,
   "X",""))</f>
        <v/>
      </c>
      <c r="K230" s="333" t="str" cm="1">
        <f t="array" ref="K230">IF(I230="", "", IF(
   SUMPRODUCT(
     --('4. Capabilities Assessment'!$N$14:$N$43 = $F230),
     --(IFERROR(
           INDEX(
              '10. Capability Matrix'!$B$43:$K$73,
              MATCH('4. Capabilities Assessment'!$D$14:$D$43, '10. Capability Matrix'!$B$44:$B$73, 0),
              _xlfn.XMATCH(K$226,'10. Capability Matrix'!$C$43:$K$43, 0)+1
           ),
        "") = "X")
   )&gt;0,
   "X",""))</f>
        <v/>
      </c>
      <c r="L230" s="333" t="str" cm="1">
        <f t="array" ref="L230">IF(J230="", "", IF(
   SUMPRODUCT(
     --('4. Capabilities Assessment'!$N$14:$N$43 = $F230),
     --(IFERROR(
           INDEX(
              '10. Capability Matrix'!$B$43:$K$73,
              MATCH('4. Capabilities Assessment'!$D$14:$D$43, '10. Capability Matrix'!$B$44:$B$73, 0),
              _xlfn.XMATCH(L$226,'10. Capability Matrix'!$C$43:$K$43, 0)+1
           ),
        "") = "X")
   )&gt;0,
   "X",""))</f>
        <v/>
      </c>
      <c r="M230" s="333" t="str" cm="1">
        <f t="array" ref="M230">IF(K230="", "", IF(
   SUMPRODUCT(
     --('4. Capabilities Assessment'!$N$14:$N$43 = $F230),
     --(IFERROR(
           INDEX(
              '10. Capability Matrix'!$B$43:$K$73,
              MATCH('4. Capabilities Assessment'!$D$14:$D$43, '10. Capability Matrix'!$B$44:$B$73, 0),
              _xlfn.XMATCH(M$226,'10. Capability Matrix'!$C$43:$K$43, 0)+1
           ),
        "") = "X")
   )&gt;0,
   "X",""))</f>
        <v/>
      </c>
      <c r="N230" t="str" cm="1">
        <f t="array" ref="N230">IF(L230="", "", IF(
   SUMPRODUCT(
     --('4. Capabilities Assessment'!$N$14:$N$43 = $F230),
     --(IFERROR(
           INDEX(
              '10. Capability Matrix'!$B$43:$K$73,
              MATCH('4. Capabilities Assessment'!$D$14:$D$43, '10. Capability Matrix'!$B$44:$B$73, 0),
              _xlfn.XMATCH(N$226,'10. Capability Matrix'!$C$43:$K$43, 0)+1
           ),
        "") = "X")
   )&gt;0,
   "X",""))</f>
        <v/>
      </c>
    </row>
    <row r="231" spans="2:14" x14ac:dyDescent="0.2">
      <c r="B231" s="354" t="s">
        <v>181</v>
      </c>
      <c r="C231">
        <v>4</v>
      </c>
      <c r="E231" s="364">
        <v>5</v>
      </c>
      <c r="F231" s="334" t="str">
        <f>IF('5. Initiative List'!C10="", "", '5. Initiative List'!C10)</f>
        <v>Train Developers on Secure Coding Practices (OWASP Top 10)</v>
      </c>
      <c r="G231" s="334" t="str" cm="1">
        <f t="array" ref="G231">IF(F231="", "", _xlfn.TEXTJOIN(", ", TRUE,
   IF('4. Capabilities Assessment'!$N$2:$N$43=$F231,
      '4. Capabilities Assessment'!$D$2:$D$43, "")))</f>
        <v>Secure Coding Practices &amp; Training</v>
      </c>
      <c r="H231" s="335" t="str" cm="1">
        <f t="array" ref="H231">IF(F231="", "", IF(
   SUMPRODUCT(
     --('4. Capabilities Assessment'!$N$14:$N$43 = $F231),
     --(IFERROR(
           INDEX(
              '10. Capability Matrix'!$B$7:$K$36,
              MATCH('4. Capabilities Assessment'!$D$14:$D$43, '10. Capability Matrix'!$B$7:$B$36, 0),
              _xlfn.XMATCH(H$226,'10. Capability Matrix'!$C$6:$K$6, 0)+1
           ),
        "") = "X")
   )&gt;0,
   "X",""))</f>
        <v/>
      </c>
      <c r="I231" s="335" t="str" cm="1">
        <f t="array" ref="I231">IF(G231="", "", IF(
   SUMPRODUCT(
     --('4. Capabilities Assessment'!$N$14:$N$43 = $F231),
     --(IFERROR(
           INDEX(
              '10. Capability Matrix'!$B$7:$K$36,
              MATCH('4. Capabilities Assessment'!$D$14:$D$43, '10. Capability Matrix'!$B$7:$B$36, 0),
              _xlfn.XMATCH(I$226,'10. Capability Matrix'!$C$6:$K$6, 0)+1
           ),
        "") = "X")
   )&gt;0,
   "X",""))</f>
        <v>X</v>
      </c>
      <c r="J231" s="335" t="str" cm="1">
        <f t="array" ref="J231">IF(H231="", "", IF(
   SUMPRODUCT(
     --('4. Capabilities Assessment'!$N$14:$N$43 = $F231),
     --(IFERROR(
           INDEX(
              '10. Capability Matrix'!$B$7:$K$36,
              MATCH('4. Capabilities Assessment'!$D$14:$D$43, '10. Capability Matrix'!$B$7:$B$36, 0),
              _xlfn.XMATCH(J$226,'10. Capability Matrix'!$C$6:$K$6, 0)+1
           ),
        "") = "X")
   )&gt;0,
   "X",""))</f>
        <v/>
      </c>
      <c r="K231" s="335" t="str" cm="1">
        <f t="array" ref="K231">IF(I231="", "", IF(
   SUMPRODUCT(
     --('4. Capabilities Assessment'!$N$14:$N$43 = $F231),
     --(IFERROR(
           INDEX(
              '10. Capability Matrix'!$B$43:$K$73,
              MATCH('4. Capabilities Assessment'!$D$14:$D$43, '10. Capability Matrix'!$B$44:$B$73, 0),
              _xlfn.XMATCH(K$226,'10. Capability Matrix'!$C$43:$K$43, 0)+1
           ),
        "") = "X")
   )&gt;0,
   "X",""))</f>
        <v/>
      </c>
      <c r="L231" s="335" t="str" cm="1">
        <f t="array" ref="L231">IF(J231="", "", IF(
   SUMPRODUCT(
     --('4. Capabilities Assessment'!$N$14:$N$43 = $F231),
     --(IFERROR(
           INDEX(
              '10. Capability Matrix'!$B$43:$K$73,
              MATCH('4. Capabilities Assessment'!$D$14:$D$43, '10. Capability Matrix'!$B$44:$B$73, 0),
              _xlfn.XMATCH(L$226,'10. Capability Matrix'!$C$43:$K$43, 0)+1
           ),
        "") = "X")
   )&gt;0,
   "X",""))</f>
        <v/>
      </c>
      <c r="M231" s="335" t="str" cm="1">
        <f t="array" ref="M231">IF(K231="", "", IF(
   SUMPRODUCT(
     --('4. Capabilities Assessment'!$N$14:$N$43 = $F231),
     --(IFERROR(
           INDEX(
              '10. Capability Matrix'!$B$43:$K$73,
              MATCH('4. Capabilities Assessment'!$D$14:$D$43, '10. Capability Matrix'!$B$44:$B$73, 0),
              _xlfn.XMATCH(M$226,'10. Capability Matrix'!$C$43:$K$43, 0)+1
           ),
        "") = "X")
   )&gt;0,
   "X",""))</f>
        <v/>
      </c>
      <c r="N231" t="str" cm="1">
        <f t="array" ref="N231">IF(L231="", "", IF(
   SUMPRODUCT(
     --('4. Capabilities Assessment'!$N$14:$N$43 = $F231),
     --(IFERROR(
           INDEX(
              '10. Capability Matrix'!$B$43:$K$73,
              MATCH('4. Capabilities Assessment'!$D$14:$D$43, '10. Capability Matrix'!$B$44:$B$73, 0),
              _xlfn.XMATCH(N$226,'10. Capability Matrix'!$C$43:$K$43, 0)+1
           ),
        "") = "X")
   )&gt;0,
   "X",""))</f>
        <v/>
      </c>
    </row>
    <row r="232" spans="2:14" x14ac:dyDescent="0.2">
      <c r="B232" s="354" t="s">
        <v>203</v>
      </c>
      <c r="C232">
        <v>4</v>
      </c>
      <c r="E232" s="363">
        <v>6</v>
      </c>
      <c r="F232" s="332" t="str">
        <f>IF('5. Initiative List'!C11="", "", '5. Initiative List'!C11)</f>
        <v>Integrate SAST Tools Into CI Pipeline</v>
      </c>
      <c r="G232" s="332" t="str" cm="1">
        <f t="array" ref="G232">IF(F232="", "", _xlfn.TEXTJOIN(", ", TRUE,
   IF('4. Capabilities Assessment'!$N$2:$N$43=$F232,
      '4. Capabilities Assessment'!$D$2:$D$43, "")))</f>
        <v>Secure Code Review &amp; Static Analysis, Automated Security Testing</v>
      </c>
      <c r="H232" s="333" t="str" cm="1">
        <f t="array" ref="H232">IF(F232="", "", IF(
   SUMPRODUCT(
     --('4. Capabilities Assessment'!$N$14:$N$43 = $F232),
     --(IFERROR(
           INDEX(
              '10. Capability Matrix'!$B$7:$K$36,
              MATCH('4. Capabilities Assessment'!$D$14:$D$43, '10. Capability Matrix'!$B$7:$B$36, 0),
              _xlfn.XMATCH(H$226,'10. Capability Matrix'!$C$6:$K$6, 0)+1
           ),
        "") = "X")
   )&gt;0,
   "X",""))</f>
        <v>X</v>
      </c>
      <c r="I232" s="333" t="str" cm="1">
        <f t="array" ref="I232">IF(G232="", "", IF(
   SUMPRODUCT(
     --('4. Capabilities Assessment'!$N$14:$N$43 = $F232),
     --(IFERROR(
           INDEX(
              '10. Capability Matrix'!$B$7:$K$36,
              MATCH('4. Capabilities Assessment'!$D$14:$D$43, '10. Capability Matrix'!$B$7:$B$36, 0),
              _xlfn.XMATCH(I$226,'10. Capability Matrix'!$C$6:$K$6, 0)+1
           ),
        "") = "X")
   )&gt;0,
   "X",""))</f>
        <v>X</v>
      </c>
      <c r="J232" s="333" t="str" cm="1">
        <f t="array" ref="J232">IF(H232="", "", IF(
   SUMPRODUCT(
     --('4. Capabilities Assessment'!$N$14:$N$43 = $F232),
     --(IFERROR(
           INDEX(
              '10. Capability Matrix'!$B$7:$K$36,
              MATCH('4. Capabilities Assessment'!$D$14:$D$43, '10. Capability Matrix'!$B$7:$B$36, 0),
              _xlfn.XMATCH(J$226,'10. Capability Matrix'!$C$6:$K$6, 0)+1
           ),
        "") = "X")
   )&gt;0,
   "X",""))</f>
        <v/>
      </c>
      <c r="K232" s="333" t="str" cm="1">
        <f t="array" ref="K232">IF(I232="", "", IF(
   SUMPRODUCT(
     --('4. Capabilities Assessment'!$N$14:$N$43 = $F232),
     --(IFERROR(
           INDEX(
              '10. Capability Matrix'!$B$43:$K$73,
              MATCH('4. Capabilities Assessment'!$D$14:$D$43, '10. Capability Matrix'!$B$44:$B$73, 0),
              _xlfn.XMATCH(K$226,'10. Capability Matrix'!$C$43:$K$43, 0)+1
           ),
        "") = "X")
   )&gt;0,
   "X",""))</f>
        <v>X</v>
      </c>
      <c r="L232" s="333" t="str" cm="1">
        <f t="array" ref="L232">IF(J232="", "", IF(
   SUMPRODUCT(
     --('4. Capabilities Assessment'!$N$14:$N$43 = $F232),
     --(IFERROR(
           INDEX(
              '10. Capability Matrix'!$B$43:$K$73,
              MATCH('4. Capabilities Assessment'!$D$14:$D$43, '10. Capability Matrix'!$B$44:$B$73, 0),
              _xlfn.XMATCH(L$226,'10. Capability Matrix'!$C$43:$K$43, 0)+1
           ),
        "") = "X")
   )&gt;0,
   "X",""))</f>
        <v/>
      </c>
      <c r="M232" s="333" t="str" cm="1">
        <f t="array" ref="M232">IF(K232="", "", IF(
   SUMPRODUCT(
     --('4. Capabilities Assessment'!$N$14:$N$43 = $F232),
     --(IFERROR(
           INDEX(
              '10. Capability Matrix'!$B$43:$K$73,
              MATCH('4. Capabilities Assessment'!$D$14:$D$43, '10. Capability Matrix'!$B$44:$B$73, 0),
              _xlfn.XMATCH(M$226,'10. Capability Matrix'!$C$43:$K$43, 0)+1
           ),
        "") = "X")
   )&gt;0,
   "X",""))</f>
        <v>X</v>
      </c>
      <c r="N232" t="str" cm="1">
        <f t="array" ref="N232">IF(L232="", "", IF(
   SUMPRODUCT(
     --('4. Capabilities Assessment'!$N$14:$N$43 = $F232),
     --(IFERROR(
           INDEX(
              '10. Capability Matrix'!$B$43:$K$73,
              MATCH('4. Capabilities Assessment'!$D$14:$D$43, '10. Capability Matrix'!$B$44:$B$73, 0),
              _xlfn.XMATCH(N$226,'10. Capability Matrix'!$C$43:$K$43, 0)+1
           ),
        "") = "X")
   )&gt;0,
   "X",""))</f>
        <v/>
      </c>
    </row>
    <row r="233" spans="2:14" x14ac:dyDescent="0.2">
      <c r="B233" s="354" t="s">
        <v>308</v>
      </c>
      <c r="C233">
        <v>4</v>
      </c>
      <c r="E233" s="364">
        <v>7</v>
      </c>
      <c r="F233" s="334" t="str">
        <f>IF('5. Initiative List'!C12="", "", '5. Initiative List'!C12)</f>
        <v>Automate Software Composition Analysis &amp; Supply Chain Scanning</v>
      </c>
      <c r="G233" s="334" t="str" cm="1">
        <f t="array" ref="G233">IF(F233="", "", _xlfn.TEXTJOIN(", ", TRUE,
   IF('4. Capabilities Assessment'!$N$2:$N$43=$F233,
      '4. Capabilities Assessment'!$D$2:$D$43, "")))</f>
        <v>Software Supply Chain Security</v>
      </c>
      <c r="H233" s="335" t="str" cm="1">
        <f t="array" ref="H233">IF(F233="", "", IF(
   SUMPRODUCT(
     --('4. Capabilities Assessment'!$N$14:$N$43 = $F233),
     --(IFERROR(
           INDEX(
              '10. Capability Matrix'!$B$7:$K$36,
              MATCH('4. Capabilities Assessment'!$D$14:$D$43, '10. Capability Matrix'!$B$7:$B$36, 0),
              _xlfn.XMATCH(H$226,'10. Capability Matrix'!$C$6:$K$6, 0)+1
           ),
        "") = "X")
   )&gt;0,
   "X",""))</f>
        <v/>
      </c>
      <c r="I233" s="335" t="str" cm="1">
        <f t="array" ref="I233">IF(G233="", "", IF(
   SUMPRODUCT(
     --('4. Capabilities Assessment'!$N$14:$N$43 = $F233),
     --(IFERROR(
           INDEX(
              '10. Capability Matrix'!$B$7:$K$36,
              MATCH('4. Capabilities Assessment'!$D$14:$D$43, '10. Capability Matrix'!$B$7:$B$36, 0),
              _xlfn.XMATCH(I$226,'10. Capability Matrix'!$C$6:$K$6, 0)+1
           ),
        "") = "X")
   )&gt;0,
   "X",""))</f>
        <v/>
      </c>
      <c r="J233" s="335" t="str" cm="1">
        <f t="array" ref="J233">IF(H233="", "", IF(
   SUMPRODUCT(
     --('4. Capabilities Assessment'!$N$14:$N$43 = $F233),
     --(IFERROR(
           INDEX(
              '10. Capability Matrix'!$B$7:$K$36,
              MATCH('4. Capabilities Assessment'!$D$14:$D$43, '10. Capability Matrix'!$B$7:$B$36, 0),
              _xlfn.XMATCH(J$226,'10. Capability Matrix'!$C$6:$K$6, 0)+1
           ),
        "") = "X")
   )&gt;0,
   "X",""))</f>
        <v/>
      </c>
      <c r="K233" s="335" t="str" cm="1">
        <f t="array" ref="K233">IF(I233="", "", IF(
   SUMPRODUCT(
     --('4. Capabilities Assessment'!$N$14:$N$43 = $F233),
     --(IFERROR(
           INDEX(
              '10. Capability Matrix'!$B$43:$K$73,
              MATCH('4. Capabilities Assessment'!$D$14:$D$43, '10. Capability Matrix'!$B$44:$B$73, 0),
              _xlfn.XMATCH(K$226,'10. Capability Matrix'!$C$43:$K$43, 0)+1
           ),
        "") = "X")
   )&gt;0,
   "X",""))</f>
        <v/>
      </c>
      <c r="L233" s="335" t="str" cm="1">
        <f t="array" ref="L233">IF(J233="", "", IF(
   SUMPRODUCT(
     --('4. Capabilities Assessment'!$N$14:$N$43 = $F233),
     --(IFERROR(
           INDEX(
              '10. Capability Matrix'!$B$43:$K$73,
              MATCH('4. Capabilities Assessment'!$D$14:$D$43, '10. Capability Matrix'!$B$44:$B$73, 0),
              _xlfn.XMATCH(L$226,'10. Capability Matrix'!$C$43:$K$43, 0)+1
           ),
        "") = "X")
   )&gt;0,
   "X",""))</f>
        <v/>
      </c>
      <c r="M233" s="335" t="str" cm="1">
        <f t="array" ref="M233">IF(K233="", "", IF(
   SUMPRODUCT(
     --('4. Capabilities Assessment'!$N$14:$N$43 = $F233),
     --(IFERROR(
           INDEX(
              '10. Capability Matrix'!$B$43:$K$73,
              MATCH('4. Capabilities Assessment'!$D$14:$D$43, '10. Capability Matrix'!$B$44:$B$73, 0),
              _xlfn.XMATCH(M$226,'10. Capability Matrix'!$C$43:$K$43, 0)+1
           ),
        "") = "X")
   )&gt;0,
   "X",""))</f>
        <v/>
      </c>
      <c r="N233" t="str" cm="1">
        <f t="array" ref="N233">IF(L233="", "", IF(
   SUMPRODUCT(
     --('4. Capabilities Assessment'!$N$14:$N$43 = $F233),
     --(IFERROR(
           INDEX(
              '10. Capability Matrix'!$B$43:$K$73,
              MATCH('4. Capabilities Assessment'!$D$14:$D$43, '10. Capability Matrix'!$B$44:$B$73, 0),
              _xlfn.XMATCH(N$226,'10. Capability Matrix'!$C$43:$K$43, 0)+1
           ),
        "") = "X")
   )&gt;0,
   "X",""))</f>
        <v/>
      </c>
    </row>
    <row r="234" spans="2:14" x14ac:dyDescent="0.2">
      <c r="B234" s="354" t="s">
        <v>361</v>
      </c>
      <c r="C234">
        <v>4</v>
      </c>
      <c r="E234" s="363">
        <v>8</v>
      </c>
      <c r="F234" s="332" t="str">
        <f>IF('5. Initiative List'!C13="", "", '5. Initiative List'!C13)</f>
        <v>Enhance CI/CD Pipelines With Secrets Scanning &amp; Signing Tools</v>
      </c>
      <c r="G234" s="332" t="str" cm="1">
        <f t="array" ref="G234">IF(F234="", "", _xlfn.TEXTJOIN(", ", TRUE,
   IF('4. Capabilities Assessment'!$N$2:$N$43=$F234,
      '4. Capabilities Assessment'!$D$2:$D$43, "")))</f>
        <v>Secure Build &amp; CI/CD Pipeline, Secrets Management in Development, Artifact Signing &amp; Provenance</v>
      </c>
      <c r="H234" s="333" t="str" cm="1">
        <f t="array" ref="H234">IF(F234="", "", IF(
   SUMPRODUCT(
     --('4. Capabilities Assessment'!$N$14:$N$43 = $F234),
     --(IFERROR(
           INDEX(
              '10. Capability Matrix'!$B$7:$K$36,
              MATCH('4. Capabilities Assessment'!$D$14:$D$43, '10. Capability Matrix'!$B$7:$B$36, 0),
              _xlfn.XMATCH(H$226,'10. Capability Matrix'!$C$6:$K$6, 0)+1
           ),
        "") = "X")
   )&gt;0,
   "X",""))</f>
        <v>X</v>
      </c>
      <c r="I234" s="333" t="str" cm="1">
        <f t="array" ref="I234">IF(G234="", "", IF(
   SUMPRODUCT(
     --('4. Capabilities Assessment'!$N$14:$N$43 = $F234),
     --(IFERROR(
           INDEX(
              '10. Capability Matrix'!$B$7:$K$36,
              MATCH('4. Capabilities Assessment'!$D$14:$D$43, '10. Capability Matrix'!$B$7:$B$36, 0),
              _xlfn.XMATCH(I$226,'10. Capability Matrix'!$C$6:$K$6, 0)+1
           ),
        "") = "X")
   )&gt;0,
   "X",""))</f>
        <v/>
      </c>
      <c r="J234" s="333" t="str" cm="1">
        <f t="array" ref="J234">IF(H234="", "", IF(
   SUMPRODUCT(
     --('4. Capabilities Assessment'!$N$14:$N$43 = $F234),
     --(IFERROR(
           INDEX(
              '10. Capability Matrix'!$B$7:$K$36,
              MATCH('4. Capabilities Assessment'!$D$14:$D$43, '10. Capability Matrix'!$B$7:$B$36, 0),
              _xlfn.XMATCH(J$226,'10. Capability Matrix'!$C$6:$K$6, 0)+1
           ),
        "") = "X")
   )&gt;0,
   "X",""))</f>
        <v>X</v>
      </c>
      <c r="K234" s="333" t="str" cm="1">
        <f t="array" ref="K234">IF(I234="", "", IF(
   SUMPRODUCT(
     --('4. Capabilities Assessment'!$N$14:$N$43 = $F234),
     --(IFERROR(
           INDEX(
              '10. Capability Matrix'!$B$43:$K$73,
              MATCH('4. Capabilities Assessment'!$D$14:$D$43, '10. Capability Matrix'!$B$44:$B$73, 0),
              _xlfn.XMATCH(K$226,'10. Capability Matrix'!$C$43:$K$43, 0)+1
           ),
        "") = "X")
   )&gt;0,
   "X",""))</f>
        <v/>
      </c>
      <c r="L234" s="333" t="str" cm="1">
        <f t="array" ref="L234">IF(J234="", "", IF(
   SUMPRODUCT(
     --('4. Capabilities Assessment'!$N$14:$N$43 = $F234),
     --(IFERROR(
           INDEX(
              '10. Capability Matrix'!$B$43:$K$73,
              MATCH('4. Capabilities Assessment'!$D$14:$D$43, '10. Capability Matrix'!$B$44:$B$73, 0),
              _xlfn.XMATCH(L$226,'10. Capability Matrix'!$C$43:$K$43, 0)+1
           ),
        "") = "X")
   )&gt;0,
   "X",""))</f>
        <v/>
      </c>
      <c r="M234" s="333" t="str" cm="1">
        <f t="array" ref="M234">IF(K234="", "", IF(
   SUMPRODUCT(
     --('4. Capabilities Assessment'!$N$14:$N$43 = $F234),
     --(IFERROR(
           INDEX(
              '10. Capability Matrix'!$B$43:$K$73,
              MATCH('4. Capabilities Assessment'!$D$14:$D$43, '10. Capability Matrix'!$B$44:$B$73, 0),
              _xlfn.XMATCH(M$226,'10. Capability Matrix'!$C$43:$K$43, 0)+1
           ),
        "") = "X")
   )&gt;0,
   "X",""))</f>
        <v/>
      </c>
      <c r="N234" t="str" cm="1">
        <f t="array" ref="N234">IF(L234="", "", IF(
   SUMPRODUCT(
     --('4. Capabilities Assessment'!$N$14:$N$43 = $F234),
     --(IFERROR(
           INDEX(
              '10. Capability Matrix'!$B$43:$K$73,
              MATCH('4. Capabilities Assessment'!$D$14:$D$43, '10. Capability Matrix'!$B$44:$B$73, 0),
              _xlfn.XMATCH(N$226,'10. Capability Matrix'!$C$43:$K$43, 0)+1
           ),
        "") = "X")
   )&gt;0,
   "X",""))</f>
        <v/>
      </c>
    </row>
    <row r="235" spans="2:14" x14ac:dyDescent="0.2">
      <c r="B235" s="354" t="s">
        <v>351</v>
      </c>
      <c r="C235">
        <v>4</v>
      </c>
      <c r="E235" s="364">
        <v>9</v>
      </c>
      <c r="F235" s="334" t="str">
        <f>IF('5. Initiative List'!C14="", "", '5. Initiative List'!C14)</f>
        <v>Implement IaC and Container Security Scanning</v>
      </c>
      <c r="G235" s="334" t="str" cm="1">
        <f t="array" ref="G235">IF(F235="", "", _xlfn.TEXTJOIN(", ", TRUE,
   IF('4. Capabilities Assessment'!$N$2:$N$43=$F235,
      '4. Capabilities Assessment'!$D$2:$D$43, "")))</f>
        <v>Container &amp; Orchestrator Security</v>
      </c>
      <c r="H235" s="335" t="str" cm="1">
        <f t="array" ref="H235">IF(F235="", "", IF(
   SUMPRODUCT(
     --('4. Capabilities Assessment'!$N$14:$N$43 = $F235),
     --(IFERROR(
           INDEX(
              '10. Capability Matrix'!$B$7:$K$36,
              MATCH('4. Capabilities Assessment'!$D$14:$D$43, '10. Capability Matrix'!$B$7:$B$36, 0),
              _xlfn.XMATCH(H$226,'10. Capability Matrix'!$C$6:$K$6, 0)+1
           ),
        "") = "X")
   )&gt;0,
   "X",""))</f>
        <v>X</v>
      </c>
      <c r="I235" s="335" t="str" cm="1">
        <f t="array" ref="I235">IF(G235="", "", IF(
   SUMPRODUCT(
     --('4. Capabilities Assessment'!$N$14:$N$43 = $F235),
     --(IFERROR(
           INDEX(
              '10. Capability Matrix'!$B$7:$K$36,
              MATCH('4. Capabilities Assessment'!$D$14:$D$43, '10. Capability Matrix'!$B$7:$B$36, 0),
              _xlfn.XMATCH(I$226,'10. Capability Matrix'!$C$6:$K$6, 0)+1
           ),
        "") = "X")
   )&gt;0,
   "X",""))</f>
        <v/>
      </c>
      <c r="J235" s="335" t="str" cm="1">
        <f t="array" ref="J235">IF(H235="", "", IF(
   SUMPRODUCT(
     --('4. Capabilities Assessment'!$N$14:$N$43 = $F235),
     --(IFERROR(
           INDEX(
              '10. Capability Matrix'!$B$7:$K$36,
              MATCH('4. Capabilities Assessment'!$D$14:$D$43, '10. Capability Matrix'!$B$7:$B$36, 0),
              _xlfn.XMATCH(J$226,'10. Capability Matrix'!$C$6:$K$6, 0)+1
           ),
        "") = "X")
   )&gt;0,
   "X",""))</f>
        <v/>
      </c>
      <c r="K235" s="335" t="str" cm="1">
        <f t="array" ref="K235">IF(I235="", "", IF(
   SUMPRODUCT(
     --('4. Capabilities Assessment'!$N$14:$N$43 = $F235),
     --(IFERROR(
           INDEX(
              '10. Capability Matrix'!$B$43:$K$73,
              MATCH('4. Capabilities Assessment'!$D$14:$D$43, '10. Capability Matrix'!$B$44:$B$73, 0),
              _xlfn.XMATCH(K$226,'10. Capability Matrix'!$C$43:$K$43, 0)+1
           ),
        "") = "X")
   )&gt;0,
   "X",""))</f>
        <v/>
      </c>
      <c r="L235" s="335" t="str" cm="1">
        <f t="array" ref="L235">IF(J235="", "", IF(
   SUMPRODUCT(
     --('4. Capabilities Assessment'!$N$14:$N$43 = $F235),
     --(IFERROR(
           INDEX(
              '10. Capability Matrix'!$B$43:$K$73,
              MATCH('4. Capabilities Assessment'!$D$14:$D$43, '10. Capability Matrix'!$B$44:$B$73, 0),
              _xlfn.XMATCH(L$226,'10. Capability Matrix'!$C$43:$K$43, 0)+1
           ),
        "") = "X")
   )&gt;0,
   "X",""))</f>
        <v/>
      </c>
      <c r="M235" s="335" t="str" cm="1">
        <f t="array" ref="M235">IF(K235="", "", IF(
   SUMPRODUCT(
     --('4. Capabilities Assessment'!$N$14:$N$43 = $F235),
     --(IFERROR(
           INDEX(
              '10. Capability Matrix'!$B$43:$K$73,
              MATCH('4. Capabilities Assessment'!$D$14:$D$43, '10. Capability Matrix'!$B$44:$B$73, 0),
              _xlfn.XMATCH(M$226,'10. Capability Matrix'!$C$43:$K$43, 0)+1
           ),
        "") = "X")
   )&gt;0,
   "X",""))</f>
        <v/>
      </c>
      <c r="N235" t="str" cm="1">
        <f t="array" ref="N235">IF(L235="", "", IF(
   SUMPRODUCT(
     --('4. Capabilities Assessment'!$N$14:$N$43 = $F235),
     --(IFERROR(
           INDEX(
              '10. Capability Matrix'!$B$43:$K$73,
              MATCH('4. Capabilities Assessment'!$D$14:$D$43, '10. Capability Matrix'!$B$44:$B$73, 0),
              _xlfn.XMATCH(N$226,'10. Capability Matrix'!$C$43:$K$43, 0)+1
           ),
        "") = "X")
   )&gt;0,
   "X",""))</f>
        <v/>
      </c>
    </row>
    <row r="236" spans="2:14" x14ac:dyDescent="0.2">
      <c r="B236" s="354" t="s">
        <v>276</v>
      </c>
      <c r="C236">
        <v>4</v>
      </c>
      <c r="E236" s="363">
        <v>10</v>
      </c>
      <c r="F236" s="332" t="str">
        <f>IF('5. Initiative List'!C15="", "", '5. Initiative List'!C15)</f>
        <v>Adopt Policy-as-Code for Automated Security Governance</v>
      </c>
      <c r="G236" s="332" t="str" cm="1">
        <f t="array" ref="G236">IF(F236="", "", _xlfn.TEXTJOIN(", ", TRUE,
   IF('4. Capabilities Assessment'!$N$2:$N$43=$F236,
      '4. Capabilities Assessment'!$D$2:$D$43, "")))</f>
        <v>Policy‑as‑Code (PaC) Deployment, Deployment Security Gates &amp; Reviews</v>
      </c>
      <c r="H236" s="333" t="str" cm="1">
        <f t="array" ref="H236">IF(F236="", "", IF(
   SUMPRODUCT(
     --('4. Capabilities Assessment'!$N$14:$N$43 = $F236),
     --(IFERROR(
           INDEX(
              '10. Capability Matrix'!$B$7:$K$36,
              MATCH('4. Capabilities Assessment'!$D$14:$D$43, '10. Capability Matrix'!$B$7:$B$36, 0),
              _xlfn.XMATCH(H$226,'10. Capability Matrix'!$C$6:$K$6, 0)+1
           ),
        "") = "X")
   )&gt;0,
   "X",""))</f>
        <v>X</v>
      </c>
      <c r="I236" s="333" t="str" cm="1">
        <f t="array" ref="I236">IF(G236="", "", IF(
   SUMPRODUCT(
     --('4. Capabilities Assessment'!$N$14:$N$43 = $F236),
     --(IFERROR(
           INDEX(
              '10. Capability Matrix'!$B$7:$K$36,
              MATCH('4. Capabilities Assessment'!$D$14:$D$43, '10. Capability Matrix'!$B$7:$B$36, 0),
              _xlfn.XMATCH(I$226,'10. Capability Matrix'!$C$6:$K$6, 0)+1
           ),
        "") = "X")
   )&gt;0,
   "X",""))</f>
        <v>X</v>
      </c>
      <c r="J236" s="333" t="str" cm="1">
        <f t="array" ref="J236">IF(H236="", "", IF(
   SUMPRODUCT(
     --('4. Capabilities Assessment'!$N$14:$N$43 = $F236),
     --(IFERROR(
           INDEX(
              '10. Capability Matrix'!$B$7:$K$36,
              MATCH('4. Capabilities Assessment'!$D$14:$D$43, '10. Capability Matrix'!$B$7:$B$36, 0),
              _xlfn.XMATCH(J$226,'10. Capability Matrix'!$C$6:$K$6, 0)+1
           ),
        "") = "X")
   )&gt;0,
   "X",""))</f>
        <v>X</v>
      </c>
      <c r="K236" s="333" t="str" cm="1">
        <f t="array" ref="K236">IF(I236="", "", IF(
   SUMPRODUCT(
     --('4. Capabilities Assessment'!$N$14:$N$43 = $F236),
     --(IFERROR(
           INDEX(
              '10. Capability Matrix'!$B$43:$K$73,
              MATCH('4. Capabilities Assessment'!$D$14:$D$43, '10. Capability Matrix'!$B$44:$B$73, 0),
              _xlfn.XMATCH(K$226,'10. Capability Matrix'!$C$43:$K$43, 0)+1
           ),
        "") = "X")
   )&gt;0,
   "X",""))</f>
        <v/>
      </c>
      <c r="L236" s="333" t="str" cm="1">
        <f t="array" ref="L236">IF(J236="", "", IF(
   SUMPRODUCT(
     --('4. Capabilities Assessment'!$N$14:$N$43 = $F236),
     --(IFERROR(
           INDEX(
              '10. Capability Matrix'!$B$43:$K$73,
              MATCH('4. Capabilities Assessment'!$D$14:$D$43, '10. Capability Matrix'!$B$44:$B$73, 0),
              _xlfn.XMATCH(L$226,'10. Capability Matrix'!$C$43:$K$43, 0)+1
           ),
        "") = "X")
   )&gt;0,
   "X",""))</f>
        <v/>
      </c>
      <c r="M236" s="333" t="str" cm="1">
        <f t="array" ref="M236">IF(K236="", "", IF(
   SUMPRODUCT(
     --('4. Capabilities Assessment'!$N$14:$N$43 = $F236),
     --(IFERROR(
           INDEX(
              '10. Capability Matrix'!$B$43:$K$73,
              MATCH('4. Capabilities Assessment'!$D$14:$D$43, '10. Capability Matrix'!$B$44:$B$73, 0),
              _xlfn.XMATCH(M$226,'10. Capability Matrix'!$C$43:$K$43, 0)+1
           ),
        "") = "X")
   )&gt;0,
   "X",""))</f>
        <v/>
      </c>
      <c r="N236" t="str" cm="1">
        <f t="array" ref="N236">IF(L236="", "", IF(
   SUMPRODUCT(
     --('4. Capabilities Assessment'!$N$14:$N$43 = $F236),
     --(IFERROR(
           INDEX(
              '10. Capability Matrix'!$B$43:$K$73,
              MATCH('4. Capabilities Assessment'!$D$14:$D$43, '10. Capability Matrix'!$B$44:$B$73, 0),
              _xlfn.XMATCH(N$226,'10. Capability Matrix'!$C$43:$K$43, 0)+1
           ),
        "") = "X")
   )&gt;0,
   "X",""))</f>
        <v/>
      </c>
    </row>
    <row r="237" spans="2:14" x14ac:dyDescent="0.2">
      <c r="B237" s="354" t="s">
        <v>287</v>
      </c>
      <c r="C237">
        <v>4</v>
      </c>
      <c r="E237" s="364">
        <v>11</v>
      </c>
      <c r="F237" s="334" t="str">
        <f>IF('5. Initiative List'!C16="", "", '5. Initiative List'!C16)</f>
        <v>Establish Fuzzing and Red Team Engagement Programs</v>
      </c>
      <c r="G237" s="334" t="str" cm="1">
        <f t="array" ref="G237">IF(F237="", "", _xlfn.TEXTJOIN(", ", TRUE,
   IF('4. Capabilities Assessment'!$N$2:$N$43=$F237,
      '4. Capabilities Assessment'!$D$2:$D$43, "")))</f>
        <v>Penetration Testing &amp; Red Teaming, Fuzz &amp; Chaos Testing</v>
      </c>
      <c r="H237" s="335" t="str" cm="1">
        <f t="array" ref="H237">IF(F237="", "", IF(
   SUMPRODUCT(
     --('4. Capabilities Assessment'!$N$14:$N$43 = $F237),
     --(IFERROR(
           INDEX(
              '10. Capability Matrix'!$B$7:$K$36,
              MATCH('4. Capabilities Assessment'!$D$14:$D$43, '10. Capability Matrix'!$B$7:$B$36, 0),
              _xlfn.XMATCH(H$226,'10. Capability Matrix'!$C$6:$K$6, 0)+1
           ),
        "") = "X")
   )&gt;0,
   "X",""))</f>
        <v/>
      </c>
      <c r="I237" s="335" t="str" cm="1">
        <f t="array" ref="I237">IF(G237="", "", IF(
   SUMPRODUCT(
     --('4. Capabilities Assessment'!$N$14:$N$43 = $F237),
     --(IFERROR(
           INDEX(
              '10. Capability Matrix'!$B$7:$K$36,
              MATCH('4. Capabilities Assessment'!$D$14:$D$43, '10. Capability Matrix'!$B$7:$B$36, 0),
              _xlfn.XMATCH(I$226,'10. Capability Matrix'!$C$6:$K$6, 0)+1
           ),
        "") = "X")
   )&gt;0,
   "X",""))</f>
        <v/>
      </c>
      <c r="J237" s="335" t="str" cm="1">
        <f t="array" ref="J237">IF(H237="", "", IF(
   SUMPRODUCT(
     --('4. Capabilities Assessment'!$N$14:$N$43 = $F237),
     --(IFERROR(
           INDEX(
              '10. Capability Matrix'!$B$7:$K$36,
              MATCH('4. Capabilities Assessment'!$D$14:$D$43, '10. Capability Matrix'!$B$7:$B$36, 0),
              _xlfn.XMATCH(J$226,'10. Capability Matrix'!$C$6:$K$6, 0)+1
           ),
        "") = "X")
   )&gt;0,
   "X",""))</f>
        <v/>
      </c>
      <c r="K237" s="335" t="str" cm="1">
        <f t="array" ref="K237">IF(I237="", "", IF(
   SUMPRODUCT(
     --('4. Capabilities Assessment'!$N$14:$N$43 = $F237),
     --(IFERROR(
           INDEX(
              '10. Capability Matrix'!$B$43:$K$73,
              MATCH('4. Capabilities Assessment'!$D$14:$D$43, '10. Capability Matrix'!$B$44:$B$73, 0),
              _xlfn.XMATCH(K$226,'10. Capability Matrix'!$C$43:$K$43, 0)+1
           ),
        "") = "X")
   )&gt;0,
   "X",""))</f>
        <v/>
      </c>
      <c r="L237" s="335" t="str" cm="1">
        <f t="array" ref="L237">IF(J237="", "", IF(
   SUMPRODUCT(
     --('4. Capabilities Assessment'!$N$14:$N$43 = $F237),
     --(IFERROR(
           INDEX(
              '10. Capability Matrix'!$B$43:$K$73,
              MATCH('4. Capabilities Assessment'!$D$14:$D$43, '10. Capability Matrix'!$B$44:$B$73, 0),
              _xlfn.XMATCH(L$226,'10. Capability Matrix'!$C$43:$K$43, 0)+1
           ),
        "") = "X")
   )&gt;0,
   "X",""))</f>
        <v/>
      </c>
      <c r="M237" s="335" t="str" cm="1">
        <f t="array" ref="M237">IF(K237="", "", IF(
   SUMPRODUCT(
     --('4. Capabilities Assessment'!$N$14:$N$43 = $F237),
     --(IFERROR(
           INDEX(
              '10. Capability Matrix'!$B$43:$K$73,
              MATCH('4. Capabilities Assessment'!$D$14:$D$43, '10. Capability Matrix'!$B$44:$B$73, 0),
              _xlfn.XMATCH(M$226,'10. Capability Matrix'!$C$43:$K$43, 0)+1
           ),
        "") = "X")
   )&gt;0,
   "X",""))</f>
        <v/>
      </c>
      <c r="N237" t="str" cm="1">
        <f t="array" ref="N237">IF(L237="", "", IF(
   SUMPRODUCT(
     --('4. Capabilities Assessment'!$N$14:$N$43 = $F237),
     --(IFERROR(
           INDEX(
              '10. Capability Matrix'!$B$43:$K$73,
              MATCH('4. Capabilities Assessment'!$D$14:$D$43, '10. Capability Matrix'!$B$44:$B$73, 0),
              _xlfn.XMATCH(N$226,'10. Capability Matrix'!$C$43:$K$43, 0)+1
           ),
        "") = "X")
   )&gt;0,
   "X",""))</f>
        <v/>
      </c>
    </row>
    <row r="238" spans="2:14" x14ac:dyDescent="0.2">
      <c r="B238" s="354" t="s">
        <v>115</v>
      </c>
      <c r="C238">
        <v>4</v>
      </c>
      <c r="E238" s="363">
        <v>12</v>
      </c>
      <c r="F238" s="332" t="str">
        <f>IF('5. Initiative List'!C17="", "", '5. Initiative List'!C17)</f>
        <v>Deploy Centralized Security Monitoring and Threat Detection Tools</v>
      </c>
      <c r="G238" s="332" t="str" cm="1">
        <f t="array" ref="G238">IF(F238="", "", _xlfn.TEXTJOIN(", ", TRUE,
   IF('4. Capabilities Assessment'!$N$2:$N$43=$F238,
      '4. Capabilities Assessment'!$D$2:$D$43, "")))</f>
        <v>Security Monitoring &amp; Threat Detection, Incident Response &amp; Recovery, API Security</v>
      </c>
      <c r="H238" s="333" t="str" cm="1">
        <f t="array" ref="H238">IF(F238="", "", IF(
   SUMPRODUCT(
     --('4. Capabilities Assessment'!$N$14:$N$43 = $F238),
     --(IFERROR(
           INDEX(
              '10. Capability Matrix'!$B$7:$K$36,
              MATCH('4. Capabilities Assessment'!$D$14:$D$43, '10. Capability Matrix'!$B$7:$B$36, 0),
              _xlfn.XMATCH(H$226,'10. Capability Matrix'!$C$6:$K$6, 0)+1
           ),
        "") = "X")
   )&gt;0,
   "X",""))</f>
        <v>X</v>
      </c>
      <c r="I238" s="333" t="str" cm="1">
        <f t="array" ref="I238">IF(G238="", "", IF(
   SUMPRODUCT(
     --('4. Capabilities Assessment'!$N$14:$N$43 = $F238),
     --(IFERROR(
           INDEX(
              '10. Capability Matrix'!$B$7:$K$36,
              MATCH('4. Capabilities Assessment'!$D$14:$D$43, '10. Capability Matrix'!$B$7:$B$36, 0),
              _xlfn.XMATCH(I$226,'10. Capability Matrix'!$C$6:$K$6, 0)+1
           ),
        "") = "X")
   )&gt;0,
   "X",""))</f>
        <v>X</v>
      </c>
      <c r="J238" s="333" t="str" cm="1">
        <f t="array" ref="J238">IF(H238="", "", IF(
   SUMPRODUCT(
     --('4. Capabilities Assessment'!$N$14:$N$43 = $F238),
     --(IFERROR(
           INDEX(
              '10. Capability Matrix'!$B$7:$K$36,
              MATCH('4. Capabilities Assessment'!$D$14:$D$43, '10. Capability Matrix'!$B$7:$B$36, 0),
              _xlfn.XMATCH(J$226,'10. Capability Matrix'!$C$6:$K$6, 0)+1
           ),
        "") = "X")
   )&gt;0,
   "X",""))</f>
        <v/>
      </c>
      <c r="K238" s="333" t="str" cm="1">
        <f t="array" ref="K238">IF(I238="", "", IF(
   SUMPRODUCT(
     --('4. Capabilities Assessment'!$N$14:$N$43 = $F238),
     --(IFERROR(
           INDEX(
              '10. Capability Matrix'!$B$43:$K$73,
              MATCH('4. Capabilities Assessment'!$D$14:$D$43, '10. Capability Matrix'!$B$44:$B$73, 0),
              _xlfn.XMATCH(K$226,'10. Capability Matrix'!$C$43:$K$43, 0)+1
           ),
        "") = "X")
   )&gt;0,
   "X",""))</f>
        <v>X</v>
      </c>
      <c r="L238" s="333" t="str" cm="1">
        <f t="array" ref="L238">IF(J238="", "", IF(
   SUMPRODUCT(
     --('4. Capabilities Assessment'!$N$14:$N$43 = $F238),
     --(IFERROR(
           INDEX(
              '10. Capability Matrix'!$B$43:$K$73,
              MATCH('4. Capabilities Assessment'!$D$14:$D$43, '10. Capability Matrix'!$B$44:$B$73, 0),
              _xlfn.XMATCH(L$226,'10. Capability Matrix'!$C$43:$K$43, 0)+1
           ),
        "") = "X")
   )&gt;0,
   "X",""))</f>
        <v/>
      </c>
      <c r="M238" s="333" t="str" cm="1">
        <f t="array" ref="M238">IF(K238="", "", IF(
   SUMPRODUCT(
     --('4. Capabilities Assessment'!$N$14:$N$43 = $F238),
     --(IFERROR(
           INDEX(
              '10. Capability Matrix'!$B$43:$K$73,
              MATCH('4. Capabilities Assessment'!$D$14:$D$43, '10. Capability Matrix'!$B$44:$B$73, 0),
              _xlfn.XMATCH(M$226,'10. Capability Matrix'!$C$43:$K$43, 0)+1
           ),
        "") = "X")
   )&gt;0,
   "X",""))</f>
        <v>X</v>
      </c>
      <c r="N238" t="str" cm="1">
        <f t="array" ref="N238">IF(L238="", "", IF(
   SUMPRODUCT(
     --('4. Capabilities Assessment'!$N$14:$N$43 = $F238),
     --(IFERROR(
           INDEX(
              '10. Capability Matrix'!$B$43:$K$73,
              MATCH('4. Capabilities Assessment'!$D$14:$D$43, '10. Capability Matrix'!$B$44:$B$73, 0),
              _xlfn.XMATCH(N$226,'10. Capability Matrix'!$C$43:$K$43, 0)+1
           ),
        "") = "X")
   )&gt;0,
   "X",""))</f>
        <v/>
      </c>
    </row>
    <row r="239" spans="2:14" x14ac:dyDescent="0.2">
      <c r="B239" s="354" t="s">
        <v>147</v>
      </c>
      <c r="C239">
        <v>3</v>
      </c>
      <c r="E239" s="364">
        <v>13</v>
      </c>
      <c r="F239" s="334" t="str">
        <f>IF('5. Initiative List'!C18="", "", '5. Initiative List'!C18)</f>
        <v>Integrate Patch Management &amp; Vulnerability Scanning Automation</v>
      </c>
      <c r="G239" s="334" t="str" cm="1">
        <f t="array" ref="G239">IF(F239="", "", _xlfn.TEXTJOIN(", ", TRUE,
   IF('4. Capabilities Assessment'!$N$2:$N$43=$F239,
      '4. Capabilities Assessment'!$D$2:$D$43, "")))</f>
        <v>Vulnerability Management &amp; Patching, Environment Management &amp; Configuration</v>
      </c>
      <c r="H239" s="335" t="str" cm="1">
        <f t="array" ref="H239">IF(F239="", "", IF(
   SUMPRODUCT(
     --('4. Capabilities Assessment'!$N$14:$N$43 = $F239),
     --(IFERROR(
           INDEX(
              '10. Capability Matrix'!$B$7:$K$36,
              MATCH('4. Capabilities Assessment'!$D$14:$D$43, '10. Capability Matrix'!$B$7:$B$36, 0),
              _xlfn.XMATCH(H$226,'10. Capability Matrix'!$C$6:$K$6, 0)+1
           ),
        "") = "X")
   )&gt;0,
   "X",""))</f>
        <v>X</v>
      </c>
      <c r="I239" s="335" t="str" cm="1">
        <f t="array" ref="I239">IF(G239="", "", IF(
   SUMPRODUCT(
     --('4. Capabilities Assessment'!$N$14:$N$43 = $F239),
     --(IFERROR(
           INDEX(
              '10. Capability Matrix'!$B$7:$K$36,
              MATCH('4. Capabilities Assessment'!$D$14:$D$43, '10. Capability Matrix'!$B$7:$B$36, 0),
              _xlfn.XMATCH(I$226,'10. Capability Matrix'!$C$6:$K$6, 0)+1
           ),
        "") = "X")
   )&gt;0,
   "X",""))</f>
        <v>X</v>
      </c>
      <c r="J239" s="335" t="str" cm="1">
        <f t="array" ref="J239">IF(H239="", "", IF(
   SUMPRODUCT(
     --('4. Capabilities Assessment'!$N$14:$N$43 = $F239),
     --(IFERROR(
           INDEX(
              '10. Capability Matrix'!$B$7:$K$36,
              MATCH('4. Capabilities Assessment'!$D$14:$D$43, '10. Capability Matrix'!$B$7:$B$36, 0),
              _xlfn.XMATCH(J$226,'10. Capability Matrix'!$C$6:$K$6, 0)+1
           ),
        "") = "X")
   )&gt;0,
   "X",""))</f>
        <v>X</v>
      </c>
      <c r="K239" s="335" t="str" cm="1">
        <f t="array" ref="K239">IF(I239="", "", IF(
   SUMPRODUCT(
     --('4. Capabilities Assessment'!$N$14:$N$43 = $F239),
     --(IFERROR(
           INDEX(
              '10. Capability Matrix'!$B$43:$K$73,
              MATCH('4. Capabilities Assessment'!$D$14:$D$43, '10. Capability Matrix'!$B$44:$B$73, 0),
              _xlfn.XMATCH(K$226,'10. Capability Matrix'!$C$43:$K$43, 0)+1
           ),
        "") = "X")
   )&gt;0,
   "X",""))</f>
        <v>X</v>
      </c>
      <c r="L239" s="335" t="str" cm="1">
        <f t="array" ref="L239">IF(J239="", "", IF(
   SUMPRODUCT(
     --('4. Capabilities Assessment'!$N$14:$N$43 = $F239),
     --(IFERROR(
           INDEX(
              '10. Capability Matrix'!$B$43:$K$73,
              MATCH('4. Capabilities Assessment'!$D$14:$D$43, '10. Capability Matrix'!$B$44:$B$73, 0),
              _xlfn.XMATCH(L$226,'10. Capability Matrix'!$C$43:$K$43, 0)+1
           ),
        "") = "X")
   )&gt;0,
   "X",""))</f>
        <v>X</v>
      </c>
      <c r="M239" s="335" t="str" cm="1">
        <f t="array" ref="M239">IF(K239="", "", IF(
   SUMPRODUCT(
     --('4. Capabilities Assessment'!$N$14:$N$43 = $F239),
     --(IFERROR(
           INDEX(
              '10. Capability Matrix'!$B$43:$K$73,
              MATCH('4. Capabilities Assessment'!$D$14:$D$43, '10. Capability Matrix'!$B$44:$B$73, 0),
              _xlfn.XMATCH(M$226,'10. Capability Matrix'!$C$43:$K$43, 0)+1
           ),
        "") = "X")
   )&gt;0,
   "X",""))</f>
        <v/>
      </c>
      <c r="N239" t="str" cm="1">
        <f t="array" ref="N239">IF(L239="", "", IF(
   SUMPRODUCT(
     --('4. Capabilities Assessment'!$N$14:$N$43 = $F239),
     --(IFERROR(
           INDEX(
              '10. Capability Matrix'!$B$43:$K$73,
              MATCH('4. Capabilities Assessment'!$D$14:$D$43, '10. Capability Matrix'!$B$44:$B$73, 0),
              _xlfn.XMATCH(N$226,'10. Capability Matrix'!$C$43:$K$43, 0)+1
           ),
        "") = "X")
   )&gt;0,
   "X",""))</f>
        <v/>
      </c>
    </row>
    <row r="240" spans="2:14" x14ac:dyDescent="0.2">
      <c r="B240" s="354" t="s">
        <v>297</v>
      </c>
      <c r="C240">
        <v>3</v>
      </c>
      <c r="E240" s="363">
        <v>14</v>
      </c>
      <c r="F240" s="332" t="str">
        <f>IF('5. Initiative List'!C19="", "", '5. Initiative List'!C19)</f>
        <v>Launch Responsible Disclosure &amp; Bug Bounty Program</v>
      </c>
      <c r="G240" s="332" t="str" cm="1">
        <f t="array" ref="G240">IF(F240="", "", _xlfn.TEXTJOIN(", ", TRUE,
   IF('4. Capabilities Assessment'!$N$2:$N$43=$F240,
      '4. Capabilities Assessment'!$D$2:$D$43, "")))</f>
        <v>Vulnerability Disclosure &amp; Bug Bounty</v>
      </c>
      <c r="H240" s="333" t="str" cm="1">
        <f t="array" ref="H240">IF(F240="", "", IF(
   SUMPRODUCT(
     --('4. Capabilities Assessment'!$N$14:$N$43 = $F240),
     --(IFERROR(
           INDEX(
              '10. Capability Matrix'!$B$7:$K$36,
              MATCH('4. Capabilities Assessment'!$D$14:$D$43, '10. Capability Matrix'!$B$7:$B$36, 0),
              _xlfn.XMATCH(H$226,'10. Capability Matrix'!$C$6:$K$6, 0)+1
           ),
        "") = "X")
   )&gt;0,
   "X",""))</f>
        <v/>
      </c>
      <c r="I240" s="333" t="str" cm="1">
        <f t="array" ref="I240">IF(G240="", "", IF(
   SUMPRODUCT(
     --('4. Capabilities Assessment'!$N$14:$N$43 = $F240),
     --(IFERROR(
           INDEX(
              '10. Capability Matrix'!$B$7:$K$36,
              MATCH('4. Capabilities Assessment'!$D$14:$D$43, '10. Capability Matrix'!$B$7:$B$36, 0),
              _xlfn.XMATCH(I$226,'10. Capability Matrix'!$C$6:$K$6, 0)+1
           ),
        "") = "X")
   )&gt;0,
   "X",""))</f>
        <v>X</v>
      </c>
      <c r="J240" s="333" t="str" cm="1">
        <f t="array" ref="J240">IF(H240="", "", IF(
   SUMPRODUCT(
     --('4. Capabilities Assessment'!$N$14:$N$43 = $F240),
     --(IFERROR(
           INDEX(
              '10. Capability Matrix'!$B$7:$K$36,
              MATCH('4. Capabilities Assessment'!$D$14:$D$43, '10. Capability Matrix'!$B$7:$B$36, 0),
              _xlfn.XMATCH(J$226,'10. Capability Matrix'!$C$6:$K$6, 0)+1
           ),
        "") = "X")
   )&gt;0,
   "X",""))</f>
        <v/>
      </c>
      <c r="K240" s="333" t="str" cm="1">
        <f t="array" ref="K240">IF(I240="", "", IF(
   SUMPRODUCT(
     --('4. Capabilities Assessment'!$N$14:$N$43 = $F240),
     --(IFERROR(
           INDEX(
              '10. Capability Matrix'!$B$43:$K$73,
              MATCH('4. Capabilities Assessment'!$D$14:$D$43, '10. Capability Matrix'!$B$44:$B$73, 0),
              _xlfn.XMATCH(K$226,'10. Capability Matrix'!$C$43:$K$43, 0)+1
           ),
        "") = "X")
   )&gt;0,
   "X",""))</f>
        <v/>
      </c>
      <c r="L240" s="333" t="str" cm="1">
        <f t="array" ref="L240">IF(J240="", "", IF(
   SUMPRODUCT(
     --('4. Capabilities Assessment'!$N$14:$N$43 = $F240),
     --(IFERROR(
           INDEX(
              '10. Capability Matrix'!$B$43:$K$73,
              MATCH('4. Capabilities Assessment'!$D$14:$D$43, '10. Capability Matrix'!$B$44:$B$73, 0),
              _xlfn.XMATCH(L$226,'10. Capability Matrix'!$C$43:$K$43, 0)+1
           ),
        "") = "X")
   )&gt;0,
   "X",""))</f>
        <v/>
      </c>
      <c r="M240" s="333" t="str" cm="1">
        <f t="array" ref="M240">IF(K240="", "", IF(
   SUMPRODUCT(
     --('4. Capabilities Assessment'!$N$14:$N$43 = $F240),
     --(IFERROR(
           INDEX(
              '10. Capability Matrix'!$B$43:$K$73,
              MATCH('4. Capabilities Assessment'!$D$14:$D$43, '10. Capability Matrix'!$B$44:$B$73, 0),
              _xlfn.XMATCH(M$226,'10. Capability Matrix'!$C$43:$K$43, 0)+1
           ),
        "") = "X")
   )&gt;0,
   "X",""))</f>
        <v/>
      </c>
      <c r="N240" t="str" cm="1">
        <f t="array" ref="N240">IF(L240="", "", IF(
   SUMPRODUCT(
     --('4. Capabilities Assessment'!$N$14:$N$43 = $F240),
     --(IFERROR(
           INDEX(
              '10. Capability Matrix'!$B$43:$K$73,
              MATCH('4. Capabilities Assessment'!$D$14:$D$43, '10. Capability Matrix'!$B$44:$B$73, 0),
              _xlfn.XMATCH(N$226,'10. Capability Matrix'!$C$43:$K$43, 0)+1
           ),
        "") = "X")
   )&gt;0,
   "X",""))</f>
        <v/>
      </c>
    </row>
    <row r="241" spans="2:14" x14ac:dyDescent="0.2">
      <c r="B241" s="354" t="s">
        <v>382</v>
      </c>
      <c r="C241">
        <v>3</v>
      </c>
      <c r="E241" s="364">
        <v>15</v>
      </c>
      <c r="F241" s="334" t="str">
        <f>IF('5. Initiative List'!C20="", "", '5. Initiative List'!C20)</f>
        <v>Develop AI Risk Governance Framework</v>
      </c>
      <c r="G241" s="334" t="str" cm="1">
        <f t="array" ref="G241">IF(F241="", "", _xlfn.TEXTJOIN(", ", TRUE,
   IF('4. Capabilities Assessment'!$N$2:$N$43=$F241,
      '4. Capabilities Assessment'!$D$2:$D$43, "")))</f>
        <v>Agentic AI Oversight &amp; Control</v>
      </c>
      <c r="H241" s="335" t="str" cm="1">
        <f t="array" ref="H241">IF(F241="", "", IF(
   SUMPRODUCT(
     --('4. Capabilities Assessment'!$N$14:$N$43 = $F241),
     --(IFERROR(
           INDEX(
              '10. Capability Matrix'!$B$7:$K$36,
              MATCH('4. Capabilities Assessment'!$D$14:$D$43, '10. Capability Matrix'!$B$7:$B$36, 0),
              _xlfn.XMATCH(H$226,'10. Capability Matrix'!$C$6:$K$6, 0)+1
           ),
        "") = "X")
   )&gt;0,
   "X",""))</f>
        <v/>
      </c>
      <c r="I241" s="335" t="str" cm="1">
        <f t="array" ref="I241">IF(G241="", "", IF(
   SUMPRODUCT(
     --('4. Capabilities Assessment'!$N$14:$N$43 = $F241),
     --(IFERROR(
           INDEX(
              '10. Capability Matrix'!$B$7:$K$36,
              MATCH('4. Capabilities Assessment'!$D$14:$D$43, '10. Capability Matrix'!$B$7:$B$36, 0),
              _xlfn.XMATCH(I$226,'10. Capability Matrix'!$C$6:$K$6, 0)+1
           ),
        "") = "X")
   )&gt;0,
   "X",""))</f>
        <v/>
      </c>
      <c r="J241" s="335" t="str" cm="1">
        <f t="array" ref="J241">IF(H241="", "", IF(
   SUMPRODUCT(
     --('4. Capabilities Assessment'!$N$14:$N$43 = $F241),
     --(IFERROR(
           INDEX(
              '10. Capability Matrix'!$B$7:$K$36,
              MATCH('4. Capabilities Assessment'!$D$14:$D$43, '10. Capability Matrix'!$B$7:$B$36, 0),
              _xlfn.XMATCH(J$226,'10. Capability Matrix'!$C$6:$K$6, 0)+1
           ),
        "") = "X")
   )&gt;0,
   "X",""))</f>
        <v/>
      </c>
      <c r="K241" s="335" t="str" cm="1">
        <f t="array" ref="K241">IF(I241="", "", IF(
   SUMPRODUCT(
     --('4. Capabilities Assessment'!$N$14:$N$43 = $F241),
     --(IFERROR(
           INDEX(
              '10. Capability Matrix'!$B$43:$K$73,
              MATCH('4. Capabilities Assessment'!$D$14:$D$43, '10. Capability Matrix'!$B$44:$B$73, 0),
              _xlfn.XMATCH(K$226,'10. Capability Matrix'!$C$43:$K$43, 0)+1
           ),
        "") = "X")
   )&gt;0,
   "X",""))</f>
        <v/>
      </c>
      <c r="L241" s="335" t="str" cm="1">
        <f t="array" ref="L241">IF(J241="", "", IF(
   SUMPRODUCT(
     --('4. Capabilities Assessment'!$N$14:$N$43 = $F241),
     --(IFERROR(
           INDEX(
              '10. Capability Matrix'!$B$43:$K$73,
              MATCH('4. Capabilities Assessment'!$D$14:$D$43, '10. Capability Matrix'!$B$44:$B$73, 0),
              _xlfn.XMATCH(L$226,'10. Capability Matrix'!$C$43:$K$43, 0)+1
           ),
        "") = "X")
   )&gt;0,
   "X",""))</f>
        <v/>
      </c>
      <c r="M241" s="335" t="str" cm="1">
        <f t="array" ref="M241">IF(K241="", "", IF(
   SUMPRODUCT(
     --('4. Capabilities Assessment'!$N$14:$N$43 = $F241),
     --(IFERROR(
           INDEX(
              '10. Capability Matrix'!$B$43:$K$73,
              MATCH('4. Capabilities Assessment'!$D$14:$D$43, '10. Capability Matrix'!$B$44:$B$73, 0),
              _xlfn.XMATCH(M$226,'10. Capability Matrix'!$C$43:$K$43, 0)+1
           ),
        "") = "X")
   )&gt;0,
   "X",""))</f>
        <v/>
      </c>
      <c r="N241" t="str" cm="1">
        <f t="array" ref="N241">IF(L241="", "", IF(
   SUMPRODUCT(
     --('4. Capabilities Assessment'!$N$14:$N$43 = $F241),
     --(IFERROR(
           INDEX(
              '10. Capability Matrix'!$B$43:$K$73,
              MATCH('4. Capabilities Assessment'!$D$14:$D$43, '10. Capability Matrix'!$B$44:$B$73, 0),
              _xlfn.XMATCH(N$226,'10. Capability Matrix'!$C$43:$K$43, 0)+1
           ),
        "") = "X")
   )&gt;0,
   "X",""))</f>
        <v/>
      </c>
    </row>
    <row r="242" spans="2:14" x14ac:dyDescent="0.2">
      <c r="B242" s="354" t="s">
        <v>266</v>
      </c>
      <c r="C242">
        <v>3</v>
      </c>
      <c r="E242" s="363">
        <v>16</v>
      </c>
      <c r="F242" s="332" t="str">
        <f>IF('5. Initiative List'!C21="", "", '5. Initiative List'!C21)</f>
        <v/>
      </c>
      <c r="G242" s="332" t="str" cm="1">
        <f t="array" ref="G242">IF(F242="", "", _xlfn.TEXTJOIN(", ", TRUE,
   IF('4. Capabilities Assessment'!$N$2:$N$43=$F242,
      '4. Capabilities Assessment'!$D$2:$D$43, "")))</f>
        <v/>
      </c>
      <c r="H242" s="333" t="str" cm="1">
        <f t="array" ref="H242">IF(F242="", "", IF(
   SUMPRODUCT(
     --('4. Capabilities Assessment'!$N$14:$N$43 = $F242),
     --(IFERROR(
           INDEX(
              '10. Capability Matrix'!$B$7:$K$36,
              MATCH('4. Capabilities Assessment'!$D$14:$D$43, '10. Capability Matrix'!$B$7:$B$36, 0),
              _xlfn.XMATCH(H$226,'10. Capability Matrix'!$C$6:$K$6, 0)+1
           ),
        "") = "X")
   )&gt;0,
   "X",""))</f>
        <v/>
      </c>
      <c r="I242" s="333" t="str" cm="1">
        <f t="array" ref="I242">IF(G242="", "", IF(
   SUMPRODUCT(
     --('4. Capabilities Assessment'!$N$14:$N$43 = $F242),
     --(IFERROR(
           INDEX(
              '10. Capability Matrix'!$B$7:$K$36,
              MATCH('4. Capabilities Assessment'!$D$14:$D$43, '10. Capability Matrix'!$B$7:$B$36, 0),
              _xlfn.XMATCH(I$226,'10. Capability Matrix'!$C$6:$K$6, 0)+1
           ),
        "") = "X")
   )&gt;0,
   "X",""))</f>
        <v/>
      </c>
      <c r="J242" s="333" t="str" cm="1">
        <f t="array" ref="J242">IF(H242="", "", IF(
   SUMPRODUCT(
     --('4. Capabilities Assessment'!$N$14:$N$43 = $F242),
     --(IFERROR(
           INDEX(
              '10. Capability Matrix'!$B$7:$K$36,
              MATCH('4. Capabilities Assessment'!$D$14:$D$43, '10. Capability Matrix'!$B$7:$B$36, 0),
              _xlfn.XMATCH(J$226,'10. Capability Matrix'!$C$6:$K$6, 0)+1
           ),
        "") = "X")
   )&gt;0,
   "X",""))</f>
        <v/>
      </c>
      <c r="K242" s="333" t="str" cm="1">
        <f t="array" ref="K242">IF(I242="", "", IF(
   SUMPRODUCT(
     --('4. Capabilities Assessment'!$N$14:$N$43 = $F242),
     --(IFERROR(
           INDEX(
              '10. Capability Matrix'!$B$43:$K$73,
              MATCH('4. Capabilities Assessment'!$D$14:$D$43, '10. Capability Matrix'!$B$44:$B$73, 0),
              _xlfn.XMATCH(K$226,'10. Capability Matrix'!$C$43:$K$43, 0)+1
           ),
        "") = "X")
   )&gt;0,
   "X",""))</f>
        <v/>
      </c>
      <c r="L242" s="333" t="str" cm="1">
        <f t="array" ref="L242">IF(J242="", "", IF(
   SUMPRODUCT(
     --('4. Capabilities Assessment'!$N$14:$N$43 = $F242),
     --(IFERROR(
           INDEX(
              '10. Capability Matrix'!$B$43:$K$73,
              MATCH('4. Capabilities Assessment'!$D$14:$D$43, '10. Capability Matrix'!$B$44:$B$73, 0),
              _xlfn.XMATCH(L$226,'10. Capability Matrix'!$C$43:$K$43, 0)+1
           ),
        "") = "X")
   )&gt;0,
   "X",""))</f>
        <v/>
      </c>
      <c r="M242" s="333" t="str" cm="1">
        <f t="array" ref="M242">IF(K242="", "", IF(
   SUMPRODUCT(
     --('4. Capabilities Assessment'!$N$14:$N$43 = $F242),
     --(IFERROR(
           INDEX(
              '10. Capability Matrix'!$B$43:$K$73,
              MATCH('4. Capabilities Assessment'!$D$14:$D$43, '10. Capability Matrix'!$B$44:$B$73, 0),
              _xlfn.XMATCH(M$226,'10. Capability Matrix'!$C$43:$K$43, 0)+1
           ),
        "") = "X")
   )&gt;0,
   "X",""))</f>
        <v/>
      </c>
      <c r="N242" t="str" cm="1">
        <f t="array" ref="N242">IF(L242="", "", IF(
   SUMPRODUCT(
     --('4. Capabilities Assessment'!$N$14:$N$43 = $F242),
     --(IFERROR(
           INDEX(
              '10. Capability Matrix'!$B$43:$K$73,
              MATCH('4. Capabilities Assessment'!$D$14:$D$43, '10. Capability Matrix'!$B$44:$B$73, 0),
              _xlfn.XMATCH(N$226,'10. Capability Matrix'!$C$43:$K$43, 0)+1
           ),
        "") = "X")
   )&gt;0,
   "X",""))</f>
        <v/>
      </c>
    </row>
    <row r="243" spans="2:14" x14ac:dyDescent="0.2">
      <c r="B243" s="354" t="s">
        <v>372</v>
      </c>
      <c r="C243">
        <v>3</v>
      </c>
      <c r="E243" s="364">
        <v>17</v>
      </c>
      <c r="F243" s="334" t="str">
        <f>IF('5. Initiative List'!C22="", "", '5. Initiative List'!C22)</f>
        <v/>
      </c>
      <c r="G243" s="334" t="str" cm="1">
        <f t="array" ref="G243">IF(F243="", "", _xlfn.TEXTJOIN(", ", TRUE,
   IF('4. Capabilities Assessment'!$N$2:$N$43=$F243,
      '4. Capabilities Assessment'!$D$2:$D$43, "")))</f>
        <v/>
      </c>
      <c r="H243" s="335" t="str" cm="1">
        <f t="array" ref="H243">IF(F243="", "", IF(
   SUMPRODUCT(
     --('4. Capabilities Assessment'!$N$14:$N$43 = $F243),
     --(IFERROR(
           INDEX(
              '10. Capability Matrix'!$B$7:$K$36,
              MATCH('4. Capabilities Assessment'!$D$14:$D$43, '10. Capability Matrix'!$B$7:$B$36, 0),
              _xlfn.XMATCH(H$226,'10. Capability Matrix'!$C$6:$K$6, 0)+1
           ),
        "") = "X")
   )&gt;0,
   "X",""))</f>
        <v/>
      </c>
      <c r="I243" s="335" t="str" cm="1">
        <f t="array" ref="I243">IF(G243="", "", IF(
   SUMPRODUCT(
     --('4. Capabilities Assessment'!$N$14:$N$43 = $F243),
     --(IFERROR(
           INDEX(
              '10. Capability Matrix'!$B$7:$K$36,
              MATCH('4. Capabilities Assessment'!$D$14:$D$43, '10. Capability Matrix'!$B$7:$B$36, 0),
              _xlfn.XMATCH(I$226,'10. Capability Matrix'!$C$6:$K$6, 0)+1
           ),
        "") = "X")
   )&gt;0,
   "X",""))</f>
        <v/>
      </c>
      <c r="J243" s="335" t="str" cm="1">
        <f t="array" ref="J243">IF(H243="", "", IF(
   SUMPRODUCT(
     --('4. Capabilities Assessment'!$N$14:$N$43 = $F243),
     --(IFERROR(
           INDEX(
              '10. Capability Matrix'!$B$7:$K$36,
              MATCH('4. Capabilities Assessment'!$D$14:$D$43, '10. Capability Matrix'!$B$7:$B$36, 0),
              _xlfn.XMATCH(J$226,'10. Capability Matrix'!$C$6:$K$6, 0)+1
           ),
        "") = "X")
   )&gt;0,
   "X",""))</f>
        <v/>
      </c>
      <c r="K243" s="335" t="str" cm="1">
        <f t="array" ref="K243">IF(I243="", "", IF(
   SUMPRODUCT(
     --('4. Capabilities Assessment'!$N$14:$N$43 = $F243),
     --(IFERROR(
           INDEX(
              '10. Capability Matrix'!$B$43:$K$73,
              MATCH('4. Capabilities Assessment'!$D$14:$D$43, '10. Capability Matrix'!$B$44:$B$73, 0),
              _xlfn.XMATCH(K$226,'10. Capability Matrix'!$C$43:$K$43, 0)+1
           ),
        "") = "X")
   )&gt;0,
   "X",""))</f>
        <v/>
      </c>
      <c r="L243" s="335" t="str" cm="1">
        <f t="array" ref="L243">IF(J243="", "", IF(
   SUMPRODUCT(
     --('4. Capabilities Assessment'!$N$14:$N$43 = $F243),
     --(IFERROR(
           INDEX(
              '10. Capability Matrix'!$B$43:$K$73,
              MATCH('4. Capabilities Assessment'!$D$14:$D$43, '10. Capability Matrix'!$B$44:$B$73, 0),
              _xlfn.XMATCH(L$226,'10. Capability Matrix'!$C$43:$K$43, 0)+1
           ),
        "") = "X")
   )&gt;0,
   "X",""))</f>
        <v/>
      </c>
      <c r="M243" s="335" t="str" cm="1">
        <f t="array" ref="M243">IF(K243="", "", IF(
   SUMPRODUCT(
     --('4. Capabilities Assessment'!$N$14:$N$43 = $F243),
     --(IFERROR(
           INDEX(
              '10. Capability Matrix'!$B$43:$K$73,
              MATCH('4. Capabilities Assessment'!$D$14:$D$43, '10. Capability Matrix'!$B$44:$B$73, 0),
              _xlfn.XMATCH(M$226,'10. Capability Matrix'!$C$43:$K$43, 0)+1
           ),
        "") = "X")
   )&gt;0,
   "X",""))</f>
        <v/>
      </c>
      <c r="N243" t="str" cm="1">
        <f t="array" ref="N243">IF(L243="", "", IF(
   SUMPRODUCT(
     --('4. Capabilities Assessment'!$N$14:$N$43 = $F243),
     --(IFERROR(
           INDEX(
              '10. Capability Matrix'!$B$43:$K$73,
              MATCH('4. Capabilities Assessment'!$D$14:$D$43, '10. Capability Matrix'!$B$44:$B$73, 0),
              _xlfn.XMATCH(N$226,'10. Capability Matrix'!$C$43:$K$43, 0)+1
           ),
        "") = "X")
   )&gt;0,
   "X",""))</f>
        <v/>
      </c>
    </row>
    <row r="244" spans="2:14" x14ac:dyDescent="0.2">
      <c r="B244" s="354" t="s">
        <v>224</v>
      </c>
      <c r="C244">
        <v>3</v>
      </c>
      <c r="E244" s="363">
        <v>18</v>
      </c>
      <c r="F244" s="332" t="str">
        <f>IF('5. Initiative List'!C23="", "", '5. Initiative List'!C23)</f>
        <v/>
      </c>
      <c r="G244" s="332" t="str" cm="1">
        <f t="array" ref="G244">IF(F244="", "", _xlfn.TEXTJOIN(", ", TRUE,
   IF('4. Capabilities Assessment'!$N$2:$N$43=$F244,
      '4. Capabilities Assessment'!$D$2:$D$43, "")))</f>
        <v/>
      </c>
      <c r="H244" s="333" t="str" cm="1">
        <f t="array" ref="H244">IF(F244="", "", IF(
   SUMPRODUCT(
     --('4. Capabilities Assessment'!$N$14:$N$43 = $F244),
     --(IFERROR(
           INDEX(
              '10. Capability Matrix'!$B$7:$K$36,
              MATCH('4. Capabilities Assessment'!$D$14:$D$43, '10. Capability Matrix'!$B$7:$B$36, 0),
              _xlfn.XMATCH(H$226,'10. Capability Matrix'!$C$6:$K$6, 0)+1
           ),
        "") = "X")
   )&gt;0,
   "X",""))</f>
        <v/>
      </c>
      <c r="I244" s="333" t="str" cm="1">
        <f t="array" ref="I244">IF(G244="", "", IF(
   SUMPRODUCT(
     --('4. Capabilities Assessment'!$N$14:$N$43 = $F244),
     --(IFERROR(
           INDEX(
              '10. Capability Matrix'!$B$7:$K$36,
              MATCH('4. Capabilities Assessment'!$D$14:$D$43, '10. Capability Matrix'!$B$7:$B$36, 0),
              _xlfn.XMATCH(I$226,'10. Capability Matrix'!$C$6:$K$6, 0)+1
           ),
        "") = "X")
   )&gt;0,
   "X",""))</f>
        <v/>
      </c>
      <c r="J244" s="333" t="str" cm="1">
        <f t="array" ref="J244">IF(H244="", "", IF(
   SUMPRODUCT(
     --('4. Capabilities Assessment'!$N$14:$N$43 = $F244),
     --(IFERROR(
           INDEX(
              '10. Capability Matrix'!$B$7:$K$36,
              MATCH('4. Capabilities Assessment'!$D$14:$D$43, '10. Capability Matrix'!$B$7:$B$36, 0),
              _xlfn.XMATCH(J$226,'10. Capability Matrix'!$C$6:$K$6, 0)+1
           ),
        "") = "X")
   )&gt;0,
   "X",""))</f>
        <v/>
      </c>
      <c r="K244" s="333" t="str" cm="1">
        <f t="array" ref="K244">IF(I244="", "", IF(
   SUMPRODUCT(
     --('4. Capabilities Assessment'!$N$14:$N$43 = $F244),
     --(IFERROR(
           INDEX(
              '10. Capability Matrix'!$B$43:$K$73,
              MATCH('4. Capabilities Assessment'!$D$14:$D$43, '10. Capability Matrix'!$B$44:$B$73, 0),
              _xlfn.XMATCH(K$226,'10. Capability Matrix'!$C$43:$K$43, 0)+1
           ),
        "") = "X")
   )&gt;0,
   "X",""))</f>
        <v/>
      </c>
      <c r="L244" s="333" t="str" cm="1">
        <f t="array" ref="L244">IF(J244="", "", IF(
   SUMPRODUCT(
     --('4. Capabilities Assessment'!$N$14:$N$43 = $F244),
     --(IFERROR(
           INDEX(
              '10. Capability Matrix'!$B$43:$K$73,
              MATCH('4. Capabilities Assessment'!$D$14:$D$43, '10. Capability Matrix'!$B$44:$B$73, 0),
              _xlfn.XMATCH(L$226,'10. Capability Matrix'!$C$43:$K$43, 0)+1
           ),
        "") = "X")
   )&gt;0,
   "X",""))</f>
        <v/>
      </c>
      <c r="M244" s="333" t="str" cm="1">
        <f t="array" ref="M244">IF(K244="", "", IF(
   SUMPRODUCT(
     --('4. Capabilities Assessment'!$N$14:$N$43 = $F244),
     --(IFERROR(
           INDEX(
              '10. Capability Matrix'!$B$43:$K$73,
              MATCH('4. Capabilities Assessment'!$D$14:$D$43, '10. Capability Matrix'!$B$44:$B$73, 0),
              _xlfn.XMATCH(M$226,'10. Capability Matrix'!$C$43:$K$43, 0)+1
           ),
        "") = "X")
   )&gt;0,
   "X",""))</f>
        <v/>
      </c>
      <c r="N244" t="str" cm="1">
        <f t="array" ref="N244">IF(L244="", "", IF(
   SUMPRODUCT(
     --('4. Capabilities Assessment'!$N$14:$N$43 = $F244),
     --(IFERROR(
           INDEX(
              '10. Capability Matrix'!$B$43:$K$73,
              MATCH('4. Capabilities Assessment'!$D$14:$D$43, '10. Capability Matrix'!$B$44:$B$73, 0),
              _xlfn.XMATCH(N$226,'10. Capability Matrix'!$C$43:$K$43, 0)+1
           ),
        "") = "X")
   )&gt;0,
   "X",""))</f>
        <v/>
      </c>
    </row>
    <row r="245" spans="2:14" x14ac:dyDescent="0.2">
      <c r="B245" s="354" t="s">
        <v>245</v>
      </c>
      <c r="C245">
        <v>3</v>
      </c>
      <c r="E245" s="364">
        <v>19</v>
      </c>
      <c r="F245" s="334" t="str">
        <f>IF('5. Initiative List'!C24="", "", '5. Initiative List'!C24)</f>
        <v/>
      </c>
      <c r="G245" s="334" t="str" cm="1">
        <f t="array" ref="G245">IF(F245="", "", _xlfn.TEXTJOIN(", ", TRUE,
   IF('4. Capabilities Assessment'!$N$2:$N$43=$F245,
      '4. Capabilities Assessment'!$D$2:$D$43, "")))</f>
        <v/>
      </c>
      <c r="H245" s="335" t="str" cm="1">
        <f t="array" ref="H245">IF(F245="", "", IF(
   SUMPRODUCT(
     --('4. Capabilities Assessment'!$N$14:$N$43 = $F245),
     --(IFERROR(
           INDEX(
              '10. Capability Matrix'!$B$7:$K$36,
              MATCH('4. Capabilities Assessment'!$D$14:$D$43, '10. Capability Matrix'!$B$7:$B$36, 0),
              _xlfn.XMATCH(H$226,'10. Capability Matrix'!$C$6:$K$6, 0)+1
           ),
        "") = "X")
   )&gt;0,
   "X",""))</f>
        <v/>
      </c>
      <c r="I245" s="335" t="str" cm="1">
        <f t="array" ref="I245">IF(G245="", "", IF(
   SUMPRODUCT(
     --('4. Capabilities Assessment'!$N$14:$N$43 = $F245),
     --(IFERROR(
           INDEX(
              '10. Capability Matrix'!$B$7:$K$36,
              MATCH('4. Capabilities Assessment'!$D$14:$D$43, '10. Capability Matrix'!$B$7:$B$36, 0),
              _xlfn.XMATCH(I$226,'10. Capability Matrix'!$C$6:$K$6, 0)+1
           ),
        "") = "X")
   )&gt;0,
   "X",""))</f>
        <v/>
      </c>
      <c r="J245" s="335" t="str" cm="1">
        <f t="array" ref="J245">IF(H245="", "", IF(
   SUMPRODUCT(
     --('4. Capabilities Assessment'!$N$14:$N$43 = $F245),
     --(IFERROR(
           INDEX(
              '10. Capability Matrix'!$B$7:$K$36,
              MATCH('4. Capabilities Assessment'!$D$14:$D$43, '10. Capability Matrix'!$B$7:$B$36, 0),
              _xlfn.XMATCH(J$226,'10. Capability Matrix'!$C$6:$K$6, 0)+1
           ),
        "") = "X")
   )&gt;0,
   "X",""))</f>
        <v/>
      </c>
      <c r="K245" s="335" t="str" cm="1">
        <f t="array" ref="K245">IF(I245="", "", IF(
   SUMPRODUCT(
     --('4. Capabilities Assessment'!$N$14:$N$43 = $F245),
     --(IFERROR(
           INDEX(
              '10. Capability Matrix'!$B$43:$K$73,
              MATCH('4. Capabilities Assessment'!$D$14:$D$43, '10. Capability Matrix'!$B$44:$B$73, 0),
              _xlfn.XMATCH(K$226,'10. Capability Matrix'!$C$43:$K$43, 0)+1
           ),
        "") = "X")
   )&gt;0,
   "X",""))</f>
        <v/>
      </c>
      <c r="L245" s="335" t="str" cm="1">
        <f t="array" ref="L245">IF(J245="", "", IF(
   SUMPRODUCT(
     --('4. Capabilities Assessment'!$N$14:$N$43 = $F245),
     --(IFERROR(
           INDEX(
              '10. Capability Matrix'!$B$43:$K$73,
              MATCH('4. Capabilities Assessment'!$D$14:$D$43, '10. Capability Matrix'!$B$44:$B$73, 0),
              _xlfn.XMATCH(L$226,'10. Capability Matrix'!$C$43:$K$43, 0)+1
           ),
        "") = "X")
   )&gt;0,
   "X",""))</f>
        <v/>
      </c>
      <c r="M245" s="335" t="str" cm="1">
        <f t="array" ref="M245">IF(K245="", "", IF(
   SUMPRODUCT(
     --('4. Capabilities Assessment'!$N$14:$N$43 = $F245),
     --(IFERROR(
           INDEX(
              '10. Capability Matrix'!$B$43:$K$73,
              MATCH('4. Capabilities Assessment'!$D$14:$D$43, '10. Capability Matrix'!$B$44:$B$73, 0),
              _xlfn.XMATCH(M$226,'10. Capability Matrix'!$C$43:$K$43, 0)+1
           ),
        "") = "X")
   )&gt;0,
   "X",""))</f>
        <v/>
      </c>
      <c r="N245" t="str" cm="1">
        <f t="array" ref="N245">IF(L245="", "", IF(
   SUMPRODUCT(
     --('4. Capabilities Assessment'!$N$14:$N$43 = $F245),
     --(IFERROR(
           INDEX(
              '10. Capability Matrix'!$B$43:$K$73,
              MATCH('4. Capabilities Assessment'!$D$14:$D$43, '10. Capability Matrix'!$B$44:$B$73, 0),
              _xlfn.XMATCH(N$226,'10. Capability Matrix'!$C$43:$K$43, 0)+1
           ),
        "") = "X")
   )&gt;0,
   "X",""))</f>
        <v/>
      </c>
    </row>
    <row r="246" spans="2:14" x14ac:dyDescent="0.2">
      <c r="B246" s="354" t="s">
        <v>93</v>
      </c>
      <c r="C246">
        <v>3</v>
      </c>
      <c r="E246" s="363">
        <v>20</v>
      </c>
      <c r="F246" s="332" t="str">
        <f>IF('5. Initiative List'!C25="", "", '5. Initiative List'!C25)</f>
        <v/>
      </c>
      <c r="G246" s="332" t="str" cm="1">
        <f t="array" ref="G246">IF(F246="", "", _xlfn.TEXTJOIN(", ", TRUE,
   IF('4. Capabilities Assessment'!$N$2:$N$43=$F246,
      '4. Capabilities Assessment'!$D$2:$D$43, "")))</f>
        <v/>
      </c>
      <c r="H246" s="333" t="str" cm="1">
        <f t="array" ref="H246">IF(F246="", "", IF(
   SUMPRODUCT(
     --('4. Capabilities Assessment'!$N$14:$N$43 = $F246),
     --(IFERROR(
           INDEX(
              '10. Capability Matrix'!$B$7:$K$36,
              MATCH('4. Capabilities Assessment'!$D$14:$D$43, '10. Capability Matrix'!$B$7:$B$36, 0),
              _xlfn.XMATCH(H$226,'10. Capability Matrix'!$C$6:$K$6, 0)+1
           ),
        "") = "X")
   )&gt;0,
   "X",""))</f>
        <v/>
      </c>
      <c r="I246" s="333" t="str" cm="1">
        <f t="array" ref="I246">IF(G246="", "", IF(
   SUMPRODUCT(
     --('4. Capabilities Assessment'!$N$14:$N$43 = $F246),
     --(IFERROR(
           INDEX(
              '10. Capability Matrix'!$B$7:$K$36,
              MATCH('4. Capabilities Assessment'!$D$14:$D$43, '10. Capability Matrix'!$B$7:$B$36, 0),
              _xlfn.XMATCH(I$226,'10. Capability Matrix'!$C$6:$K$6, 0)+1
           ),
        "") = "X")
   )&gt;0,
   "X",""))</f>
        <v/>
      </c>
      <c r="J246" s="333" t="str" cm="1">
        <f t="array" ref="J246">IF(H246="", "", IF(
   SUMPRODUCT(
     --('4. Capabilities Assessment'!$N$14:$N$43 = $F246),
     --(IFERROR(
           INDEX(
              '10. Capability Matrix'!$B$7:$K$36,
              MATCH('4. Capabilities Assessment'!$D$14:$D$43, '10. Capability Matrix'!$B$7:$B$36, 0),
              _xlfn.XMATCH(J$226,'10. Capability Matrix'!$C$6:$K$6, 0)+1
           ),
        "") = "X")
   )&gt;0,
   "X",""))</f>
        <v/>
      </c>
      <c r="K246" s="333" t="str" cm="1">
        <f t="array" ref="K246">IF(I246="", "", IF(
   SUMPRODUCT(
     --('4. Capabilities Assessment'!$N$14:$N$43 = $F246),
     --(IFERROR(
           INDEX(
              '10. Capability Matrix'!$B$43:$K$73,
              MATCH('4. Capabilities Assessment'!$D$14:$D$43, '10. Capability Matrix'!$B$44:$B$73, 0),
              _xlfn.XMATCH(K$226,'10. Capability Matrix'!$C$43:$K$43, 0)+1
           ),
        "") = "X")
   )&gt;0,
   "X",""))</f>
        <v/>
      </c>
      <c r="L246" s="333" t="str" cm="1">
        <f t="array" ref="L246">IF(J246="", "", IF(
   SUMPRODUCT(
     --('4. Capabilities Assessment'!$N$14:$N$43 = $F246),
     --(IFERROR(
           INDEX(
              '10. Capability Matrix'!$B$43:$K$73,
              MATCH('4. Capabilities Assessment'!$D$14:$D$43, '10. Capability Matrix'!$B$44:$B$73, 0),
              _xlfn.XMATCH(L$226,'10. Capability Matrix'!$C$43:$K$43, 0)+1
           ),
        "") = "X")
   )&gt;0,
   "X",""))</f>
        <v/>
      </c>
      <c r="M246" s="333" t="str" cm="1">
        <f t="array" ref="M246">IF(K246="", "", IF(
   SUMPRODUCT(
     --('4. Capabilities Assessment'!$N$14:$N$43 = $F246),
     --(IFERROR(
           INDEX(
              '10. Capability Matrix'!$B$43:$K$73,
              MATCH('4. Capabilities Assessment'!$D$14:$D$43, '10. Capability Matrix'!$B$44:$B$73, 0),
              _xlfn.XMATCH(M$226,'10. Capability Matrix'!$C$43:$K$43, 0)+1
           ),
        "") = "X")
   )&gt;0,
   "X",""))</f>
        <v/>
      </c>
      <c r="N246" t="str" cm="1">
        <f t="array" ref="N246">IF(L246="", "", IF(
   SUMPRODUCT(
     --('4. Capabilities Assessment'!$N$14:$N$43 = $F246),
     --(IFERROR(
           INDEX(
              '10. Capability Matrix'!$B$43:$K$73,
              MATCH('4. Capabilities Assessment'!$D$14:$D$43, '10. Capability Matrix'!$B$44:$B$73, 0),
              _xlfn.XMATCH(N$226,'10. Capability Matrix'!$C$43:$K$43, 0)+1
           ),
        "") = "X")
   )&gt;0,
   "X",""))</f>
        <v/>
      </c>
    </row>
    <row r="247" spans="2:14" x14ac:dyDescent="0.2">
      <c r="B247" s="354" t="s">
        <v>392</v>
      </c>
      <c r="C247">
        <v>2</v>
      </c>
      <c r="E247" s="364">
        <v>21</v>
      </c>
      <c r="F247" s="334" t="str">
        <f>IF('5. Initiative List'!C26="", "", '5. Initiative List'!C26)</f>
        <v/>
      </c>
      <c r="G247" s="334" t="str" cm="1">
        <f t="array" ref="G247">IF(F247="", "", _xlfn.TEXTJOIN(", ", TRUE,
   IF('4. Capabilities Assessment'!$N$2:$N$43=$F247,
      '4. Capabilities Assessment'!$D$2:$D$43, "")))</f>
        <v/>
      </c>
      <c r="H247" s="335" t="str" cm="1">
        <f t="array" ref="H247">IF(F247="", "", IF(
   SUMPRODUCT(
     --('4. Capabilities Assessment'!$N$14:$N$43 = $F247),
     --(IFERROR(
           INDEX(
              '10. Capability Matrix'!$B$7:$K$36,
              MATCH('4. Capabilities Assessment'!$D$14:$D$43, '10. Capability Matrix'!$B$7:$B$36, 0),
              _xlfn.XMATCH(H$226,'10. Capability Matrix'!$C$6:$K$6, 0)+1
           ),
        "") = "X")
   )&gt;0,
   "X",""))</f>
        <v/>
      </c>
      <c r="I247" s="335" t="str" cm="1">
        <f t="array" ref="I247">IF(G247="", "", IF(
   SUMPRODUCT(
     --('4. Capabilities Assessment'!$N$14:$N$43 = $F247),
     --(IFERROR(
           INDEX(
              '10. Capability Matrix'!$B$7:$K$36,
              MATCH('4. Capabilities Assessment'!$D$14:$D$43, '10. Capability Matrix'!$B$7:$B$36, 0),
              _xlfn.XMATCH(I$226,'10. Capability Matrix'!$C$6:$K$6, 0)+1
           ),
        "") = "X")
   )&gt;0,
   "X",""))</f>
        <v/>
      </c>
      <c r="J247" s="335" t="str" cm="1">
        <f t="array" ref="J247">IF(H247="", "", IF(
   SUMPRODUCT(
     --('4. Capabilities Assessment'!$N$14:$N$43 = $F247),
     --(IFERROR(
           INDEX(
              '10. Capability Matrix'!$B$7:$K$36,
              MATCH('4. Capabilities Assessment'!$D$14:$D$43, '10. Capability Matrix'!$B$7:$B$36, 0),
              _xlfn.XMATCH(J$226,'10. Capability Matrix'!$C$6:$K$6, 0)+1
           ),
        "") = "X")
   )&gt;0,
   "X",""))</f>
        <v/>
      </c>
      <c r="K247" s="335" t="str" cm="1">
        <f t="array" ref="K247">IF(I247="", "", IF(
   SUMPRODUCT(
     --('4. Capabilities Assessment'!$N$14:$N$43 = $F247),
     --(IFERROR(
           INDEX(
              '10. Capability Matrix'!$B$43:$K$73,
              MATCH('4. Capabilities Assessment'!$D$14:$D$43, '10. Capability Matrix'!$B$44:$B$73, 0),
              _xlfn.XMATCH(K$226,'10. Capability Matrix'!$C$43:$K$43, 0)+1
           ),
        "") = "X")
   )&gt;0,
   "X",""))</f>
        <v/>
      </c>
      <c r="L247" s="335" t="str" cm="1">
        <f t="array" ref="L247">IF(J247="", "", IF(
   SUMPRODUCT(
     --('4. Capabilities Assessment'!$N$14:$N$43 = $F247),
     --(IFERROR(
           INDEX(
              '10. Capability Matrix'!$B$43:$K$73,
              MATCH('4. Capabilities Assessment'!$D$14:$D$43, '10. Capability Matrix'!$B$44:$B$73, 0),
              _xlfn.XMATCH(L$226,'10. Capability Matrix'!$C$43:$K$43, 0)+1
           ),
        "") = "X")
   )&gt;0,
   "X",""))</f>
        <v/>
      </c>
      <c r="M247" s="335" t="str" cm="1">
        <f t="array" ref="M247">IF(K247="", "", IF(
   SUMPRODUCT(
     --('4. Capabilities Assessment'!$N$14:$N$43 = $F247),
     --(IFERROR(
           INDEX(
              '10. Capability Matrix'!$B$43:$K$73,
              MATCH('4. Capabilities Assessment'!$D$14:$D$43, '10. Capability Matrix'!$B$44:$B$73, 0),
              _xlfn.XMATCH(M$226,'10. Capability Matrix'!$C$43:$K$43, 0)+1
           ),
        "") = "X")
   )&gt;0,
   "X",""))</f>
        <v/>
      </c>
      <c r="N247" t="str" cm="1">
        <f t="array" ref="N247">IF(L247="", "", IF(
   SUMPRODUCT(
     --('4. Capabilities Assessment'!$N$14:$N$43 = $F247),
     --(IFERROR(
           INDEX(
              '10. Capability Matrix'!$B$43:$K$73,
              MATCH('4. Capabilities Assessment'!$D$14:$D$43, '10. Capability Matrix'!$B$44:$B$73, 0),
              _xlfn.XMATCH(N$226,'10. Capability Matrix'!$C$43:$K$43, 0)+1
           ),
        "") = "X")
   )&gt;0,
   "X",""))</f>
        <v/>
      </c>
    </row>
    <row r="248" spans="2:14" x14ac:dyDescent="0.2">
      <c r="B248" s="354" t="s">
        <v>214</v>
      </c>
      <c r="C248">
        <v>2</v>
      </c>
      <c r="E248" s="363">
        <v>22</v>
      </c>
      <c r="F248" s="332" t="str">
        <f>IF('5. Initiative List'!C27="", "", '5. Initiative List'!C27)</f>
        <v/>
      </c>
      <c r="G248" s="332" t="str" cm="1">
        <f t="array" ref="G248">IF(F248="", "", _xlfn.TEXTJOIN(", ", TRUE,
   IF('4. Capabilities Assessment'!$N$2:$N$43=$F248,
      '4. Capabilities Assessment'!$D$2:$D$43, "")))</f>
        <v/>
      </c>
      <c r="H248" s="333" t="str" cm="1">
        <f t="array" ref="H248">IF(F248="", "", IF(
   SUMPRODUCT(
     --('4. Capabilities Assessment'!$N$14:$N$43 = $F248),
     --(IFERROR(
           INDEX(
              '10. Capability Matrix'!$B$7:$K$36,
              MATCH('4. Capabilities Assessment'!$D$14:$D$43, '10. Capability Matrix'!$B$7:$B$36, 0),
              _xlfn.XMATCH(H$226,'10. Capability Matrix'!$C$6:$K$6, 0)+1
           ),
        "") = "X")
   )&gt;0,
   "X",""))</f>
        <v/>
      </c>
      <c r="I248" s="333" t="str" cm="1">
        <f t="array" ref="I248">IF(G248="", "", IF(
   SUMPRODUCT(
     --('4. Capabilities Assessment'!$N$14:$N$43 = $F248),
     --(IFERROR(
           INDEX(
              '10. Capability Matrix'!$B$7:$K$36,
              MATCH('4. Capabilities Assessment'!$D$14:$D$43, '10. Capability Matrix'!$B$7:$B$36, 0),
              _xlfn.XMATCH(I$226,'10. Capability Matrix'!$C$6:$K$6, 0)+1
           ),
        "") = "X")
   )&gt;0,
   "X",""))</f>
        <v/>
      </c>
      <c r="J248" s="333" t="str" cm="1">
        <f t="array" ref="J248">IF(H248="", "", IF(
   SUMPRODUCT(
     --('4. Capabilities Assessment'!$N$14:$N$43 = $F248),
     --(IFERROR(
           INDEX(
              '10. Capability Matrix'!$B$7:$K$36,
              MATCH('4. Capabilities Assessment'!$D$14:$D$43, '10. Capability Matrix'!$B$7:$B$36, 0),
              _xlfn.XMATCH(J$226,'10. Capability Matrix'!$C$6:$K$6, 0)+1
           ),
        "") = "X")
   )&gt;0,
   "X",""))</f>
        <v/>
      </c>
      <c r="K248" s="333" t="str" cm="1">
        <f t="array" ref="K248">IF(I248="", "", IF(
   SUMPRODUCT(
     --('4. Capabilities Assessment'!$N$14:$N$43 = $F248),
     --(IFERROR(
           INDEX(
              '10. Capability Matrix'!$B$43:$K$73,
              MATCH('4. Capabilities Assessment'!$D$14:$D$43, '10. Capability Matrix'!$B$44:$B$73, 0),
              _xlfn.XMATCH(K$226,'10. Capability Matrix'!$C$43:$K$43, 0)+1
           ),
        "") = "X")
   )&gt;0,
   "X",""))</f>
        <v/>
      </c>
      <c r="L248" s="333" t="str" cm="1">
        <f t="array" ref="L248">IF(J248="", "", IF(
   SUMPRODUCT(
     --('4. Capabilities Assessment'!$N$14:$N$43 = $F248),
     --(IFERROR(
           INDEX(
              '10. Capability Matrix'!$B$43:$K$73,
              MATCH('4. Capabilities Assessment'!$D$14:$D$43, '10. Capability Matrix'!$B$44:$B$73, 0),
              _xlfn.XMATCH(L$226,'10. Capability Matrix'!$C$43:$K$43, 0)+1
           ),
        "") = "X")
   )&gt;0,
   "X",""))</f>
        <v/>
      </c>
      <c r="M248" s="333" t="str" cm="1">
        <f t="array" ref="M248">IF(K248="", "", IF(
   SUMPRODUCT(
     --('4. Capabilities Assessment'!$N$14:$N$43 = $F248),
     --(IFERROR(
           INDEX(
              '10. Capability Matrix'!$B$43:$K$73,
              MATCH('4. Capabilities Assessment'!$D$14:$D$43, '10. Capability Matrix'!$B$44:$B$73, 0),
              _xlfn.XMATCH(M$226,'10. Capability Matrix'!$C$43:$K$43, 0)+1
           ),
        "") = "X")
   )&gt;0,
   "X",""))</f>
        <v/>
      </c>
      <c r="N248" t="str" cm="1">
        <f t="array" ref="N248">IF(L248="", "", IF(
   SUMPRODUCT(
     --('4. Capabilities Assessment'!$N$14:$N$43 = $F248),
     --(IFERROR(
           INDEX(
              '10. Capability Matrix'!$B$43:$K$73,
              MATCH('4. Capabilities Assessment'!$D$14:$D$43, '10. Capability Matrix'!$B$44:$B$73, 0),
              _xlfn.XMATCH(N$226,'10. Capability Matrix'!$C$43:$K$43, 0)+1
           ),
        "") = "X")
   )&gt;0,
   "X",""))</f>
        <v/>
      </c>
    </row>
    <row r="249" spans="2:14" x14ac:dyDescent="0.2">
      <c r="B249" s="354" t="s">
        <v>403</v>
      </c>
      <c r="C249">
        <v>2</v>
      </c>
      <c r="E249" s="364">
        <v>23</v>
      </c>
      <c r="F249" s="334" t="str">
        <f>IF('5. Initiative List'!C28="", "", '5. Initiative List'!C28)</f>
        <v/>
      </c>
      <c r="G249" s="334" t="str" cm="1">
        <f t="array" ref="G249">IF(F249="", "", _xlfn.TEXTJOIN(", ", TRUE,
   IF('4. Capabilities Assessment'!$N$2:$N$43=$F249,
      '4. Capabilities Assessment'!$D$2:$D$43, "")))</f>
        <v/>
      </c>
      <c r="H249" s="335" t="str" cm="1">
        <f t="array" ref="H249">IF(F249="", "", IF(
   SUMPRODUCT(
     --('4. Capabilities Assessment'!$N$14:$N$43 = $F249),
     --(IFERROR(
           INDEX(
              '10. Capability Matrix'!$B$7:$K$36,
              MATCH('4. Capabilities Assessment'!$D$14:$D$43, '10. Capability Matrix'!$B$7:$B$36, 0),
              _xlfn.XMATCH(H$226,'10. Capability Matrix'!$C$6:$K$6, 0)+1
           ),
        "") = "X")
   )&gt;0,
   "X",""))</f>
        <v/>
      </c>
      <c r="I249" s="335" t="str" cm="1">
        <f t="array" ref="I249">IF(G249="", "", IF(
   SUMPRODUCT(
     --('4. Capabilities Assessment'!$N$14:$N$43 = $F249),
     --(IFERROR(
           INDEX(
              '10. Capability Matrix'!$B$7:$K$36,
              MATCH('4. Capabilities Assessment'!$D$14:$D$43, '10. Capability Matrix'!$B$7:$B$36, 0),
              _xlfn.XMATCH(I$226,'10. Capability Matrix'!$C$6:$K$6, 0)+1
           ),
        "") = "X")
   )&gt;0,
   "X",""))</f>
        <v/>
      </c>
      <c r="J249" s="335" t="str" cm="1">
        <f t="array" ref="J249">IF(H249="", "", IF(
   SUMPRODUCT(
     --('4. Capabilities Assessment'!$N$14:$N$43 = $F249),
     --(IFERROR(
           INDEX(
              '10. Capability Matrix'!$B$7:$K$36,
              MATCH('4. Capabilities Assessment'!$D$14:$D$43, '10. Capability Matrix'!$B$7:$B$36, 0),
              _xlfn.XMATCH(J$226,'10. Capability Matrix'!$C$6:$K$6, 0)+1
           ),
        "") = "X")
   )&gt;0,
   "X",""))</f>
        <v/>
      </c>
      <c r="K249" s="335" t="str" cm="1">
        <f t="array" ref="K249">IF(I249="", "", IF(
   SUMPRODUCT(
     --('4. Capabilities Assessment'!$N$14:$N$43 = $F249),
     --(IFERROR(
           INDEX(
              '10. Capability Matrix'!$B$43:$K$73,
              MATCH('4. Capabilities Assessment'!$D$14:$D$43, '10. Capability Matrix'!$B$44:$B$73, 0),
              _xlfn.XMATCH(K$226,'10. Capability Matrix'!$C$43:$K$43, 0)+1
           ),
        "") = "X")
   )&gt;0,
   "X",""))</f>
        <v/>
      </c>
      <c r="L249" s="335" t="str" cm="1">
        <f t="array" ref="L249">IF(J249="", "", IF(
   SUMPRODUCT(
     --('4. Capabilities Assessment'!$N$14:$N$43 = $F249),
     --(IFERROR(
           INDEX(
              '10. Capability Matrix'!$B$43:$K$73,
              MATCH('4. Capabilities Assessment'!$D$14:$D$43, '10. Capability Matrix'!$B$44:$B$73, 0),
              _xlfn.XMATCH(L$226,'10. Capability Matrix'!$C$43:$K$43, 0)+1
           ),
        "") = "X")
   )&gt;0,
   "X",""))</f>
        <v/>
      </c>
      <c r="M249" s="335" t="str" cm="1">
        <f t="array" ref="M249">IF(K249="", "", IF(
   SUMPRODUCT(
     --('4. Capabilities Assessment'!$N$14:$N$43 = $F249),
     --(IFERROR(
           INDEX(
              '10. Capability Matrix'!$B$43:$K$73,
              MATCH('4. Capabilities Assessment'!$D$14:$D$43, '10. Capability Matrix'!$B$44:$B$73, 0),
              _xlfn.XMATCH(M$226,'10. Capability Matrix'!$C$43:$K$43, 0)+1
           ),
        "") = "X")
   )&gt;0,
   "X",""))</f>
        <v/>
      </c>
      <c r="N249" t="str" cm="1">
        <f t="array" ref="N249">IF(L249="", "", IF(
   SUMPRODUCT(
     --('4. Capabilities Assessment'!$N$14:$N$43 = $F249),
     --(IFERROR(
           INDEX(
              '10. Capability Matrix'!$B$43:$K$73,
              MATCH('4. Capabilities Assessment'!$D$14:$D$43, '10. Capability Matrix'!$B$44:$B$73, 0),
              _xlfn.XMATCH(N$226,'10. Capability Matrix'!$C$43:$K$43, 0)+1
           ),
        "") = "X")
   )&gt;0,
   "X",""))</f>
        <v/>
      </c>
    </row>
    <row r="250" spans="2:14" x14ac:dyDescent="0.2">
      <c r="B250" s="354" t="s">
        <v>329</v>
      </c>
      <c r="C250">
        <v>2</v>
      </c>
      <c r="E250" s="363">
        <v>24</v>
      </c>
      <c r="F250" s="332" t="str">
        <f>IF('5. Initiative List'!C29="", "", '5. Initiative List'!C29)</f>
        <v/>
      </c>
      <c r="G250" s="332" t="str" cm="1">
        <f t="array" ref="G250">IF(F250="", "", _xlfn.TEXTJOIN(", ", TRUE,
   IF('4. Capabilities Assessment'!$N$2:$N$43=$F250,
      '4. Capabilities Assessment'!$D$2:$D$43, "")))</f>
        <v/>
      </c>
      <c r="H250" s="333" t="str" cm="1">
        <f t="array" ref="H250">IF(F250="", "", IF(
   SUMPRODUCT(
     --('4. Capabilities Assessment'!$N$14:$N$43 = $F250),
     --(IFERROR(
           INDEX(
              '10. Capability Matrix'!$B$7:$K$36,
              MATCH('4. Capabilities Assessment'!$D$14:$D$43, '10. Capability Matrix'!$B$7:$B$36, 0),
              _xlfn.XMATCH(H$226,'10. Capability Matrix'!$C$6:$K$6, 0)+1
           ),
        "") = "X")
   )&gt;0,
   "X",""))</f>
        <v/>
      </c>
      <c r="I250" s="333" t="str" cm="1">
        <f t="array" ref="I250">IF(G250="", "", IF(
   SUMPRODUCT(
     --('4. Capabilities Assessment'!$N$14:$N$43 = $F250),
     --(IFERROR(
           INDEX(
              '10. Capability Matrix'!$B$7:$K$36,
              MATCH('4. Capabilities Assessment'!$D$14:$D$43, '10. Capability Matrix'!$B$7:$B$36, 0),
              _xlfn.XMATCH(I$226,'10. Capability Matrix'!$C$6:$K$6, 0)+1
           ),
        "") = "X")
   )&gt;0,
   "X",""))</f>
        <v/>
      </c>
      <c r="J250" s="333" t="str" cm="1">
        <f t="array" ref="J250">IF(H250="", "", IF(
   SUMPRODUCT(
     --('4. Capabilities Assessment'!$N$14:$N$43 = $F250),
     --(IFERROR(
           INDEX(
              '10. Capability Matrix'!$B$7:$K$36,
              MATCH('4. Capabilities Assessment'!$D$14:$D$43, '10. Capability Matrix'!$B$7:$B$36, 0),
              _xlfn.XMATCH(J$226,'10. Capability Matrix'!$C$6:$K$6, 0)+1
           ),
        "") = "X")
   )&gt;0,
   "X",""))</f>
        <v/>
      </c>
      <c r="K250" s="333" t="str" cm="1">
        <f t="array" ref="K250">IF(I250="", "", IF(
   SUMPRODUCT(
     --('4. Capabilities Assessment'!$N$14:$N$43 = $F250),
     --(IFERROR(
           INDEX(
              '10. Capability Matrix'!$B$43:$K$73,
              MATCH('4. Capabilities Assessment'!$D$14:$D$43, '10. Capability Matrix'!$B$44:$B$73, 0),
              _xlfn.XMATCH(K$226,'10. Capability Matrix'!$C$43:$K$43, 0)+1
           ),
        "") = "X")
   )&gt;0,
   "X",""))</f>
        <v/>
      </c>
      <c r="L250" s="333" t="str" cm="1">
        <f t="array" ref="L250">IF(J250="", "", IF(
   SUMPRODUCT(
     --('4. Capabilities Assessment'!$N$14:$N$43 = $F250),
     --(IFERROR(
           INDEX(
              '10. Capability Matrix'!$B$43:$K$73,
              MATCH('4. Capabilities Assessment'!$D$14:$D$43, '10. Capability Matrix'!$B$44:$B$73, 0),
              _xlfn.XMATCH(L$226,'10. Capability Matrix'!$C$43:$K$43, 0)+1
           ),
        "") = "X")
   )&gt;0,
   "X",""))</f>
        <v/>
      </c>
      <c r="M250" s="333" t="str" cm="1">
        <f t="array" ref="M250">IF(K250="", "", IF(
   SUMPRODUCT(
     --('4. Capabilities Assessment'!$N$14:$N$43 = $F250),
     --(IFERROR(
           INDEX(
              '10. Capability Matrix'!$B$43:$K$73,
              MATCH('4. Capabilities Assessment'!$D$14:$D$43, '10. Capability Matrix'!$B$44:$B$73, 0),
              _xlfn.XMATCH(M$226,'10. Capability Matrix'!$C$43:$K$43, 0)+1
           ),
        "") = "X")
   )&gt;0,
   "X",""))</f>
        <v/>
      </c>
      <c r="N250" t="str" cm="1">
        <f t="array" ref="N250">IF(L250="", "", IF(
   SUMPRODUCT(
     --('4. Capabilities Assessment'!$N$14:$N$43 = $F250),
     --(IFERROR(
           INDEX(
              '10. Capability Matrix'!$B$43:$K$73,
              MATCH('4. Capabilities Assessment'!$D$14:$D$43, '10. Capability Matrix'!$B$44:$B$73, 0),
              _xlfn.XMATCH(N$226,'10. Capability Matrix'!$C$43:$K$43, 0)+1
           ),
        "") = "X")
   )&gt;0,
   "X",""))</f>
        <v/>
      </c>
    </row>
    <row r="251" spans="2:14" x14ac:dyDescent="0.2">
      <c r="B251" s="354" t="s">
        <v>127</v>
      </c>
      <c r="C251">
        <v>2</v>
      </c>
      <c r="E251" s="364">
        <v>25</v>
      </c>
      <c r="F251" s="334" t="str">
        <f>IF('5. Initiative List'!C30="", "", '5. Initiative List'!C30)</f>
        <v/>
      </c>
      <c r="G251" s="334" t="str" cm="1">
        <f t="array" ref="G251">IF(F251="", "", _xlfn.TEXTJOIN(", ", TRUE,
   IF('4. Capabilities Assessment'!$N$2:$N$43=$F251,
      '4. Capabilities Assessment'!$D$2:$D$43, "")))</f>
        <v/>
      </c>
      <c r="H251" s="335" t="str" cm="1">
        <f t="array" ref="H251">IF(F251="", "", IF(
   SUMPRODUCT(
     --('4. Capabilities Assessment'!$N$14:$N$43 = $F251),
     --(IFERROR(
           INDEX(
              '10. Capability Matrix'!$B$7:$K$36,
              MATCH('4. Capabilities Assessment'!$D$14:$D$43, '10. Capability Matrix'!$B$7:$B$36, 0),
              _xlfn.XMATCH(H$226,'10. Capability Matrix'!$C$6:$K$6, 0)+1
           ),
        "") = "X")
   )&gt;0,
   "X",""))</f>
        <v/>
      </c>
      <c r="I251" s="335" t="str" cm="1">
        <f t="array" ref="I251">IF(G251="", "", IF(
   SUMPRODUCT(
     --('4. Capabilities Assessment'!$N$14:$N$43 = $F251),
     --(IFERROR(
           INDEX(
              '10. Capability Matrix'!$B$7:$K$36,
              MATCH('4. Capabilities Assessment'!$D$14:$D$43, '10. Capability Matrix'!$B$7:$B$36, 0),
              _xlfn.XMATCH(I$226,'10. Capability Matrix'!$C$6:$K$6, 0)+1
           ),
        "") = "X")
   )&gt;0,
   "X",""))</f>
        <v/>
      </c>
      <c r="J251" s="335" t="str" cm="1">
        <f t="array" ref="J251">IF(H251="", "", IF(
   SUMPRODUCT(
     --('4. Capabilities Assessment'!$N$14:$N$43 = $F251),
     --(IFERROR(
           INDEX(
              '10. Capability Matrix'!$B$7:$K$36,
              MATCH('4. Capabilities Assessment'!$D$14:$D$43, '10. Capability Matrix'!$B$7:$B$36, 0),
              _xlfn.XMATCH(J$226,'10. Capability Matrix'!$C$6:$K$6, 0)+1
           ),
        "") = "X")
   )&gt;0,
   "X",""))</f>
        <v/>
      </c>
      <c r="K251" s="335" t="str" cm="1">
        <f t="array" ref="K251">IF(I251="", "", IF(
   SUMPRODUCT(
     --('4. Capabilities Assessment'!$N$14:$N$43 = $F251),
     --(IFERROR(
           INDEX(
              '10. Capability Matrix'!$B$43:$K$73,
              MATCH('4. Capabilities Assessment'!$D$14:$D$43, '10. Capability Matrix'!$B$44:$B$73, 0),
              _xlfn.XMATCH(K$226,'10. Capability Matrix'!$C$43:$K$43, 0)+1
           ),
        "") = "X")
   )&gt;0,
   "X",""))</f>
        <v/>
      </c>
      <c r="L251" s="335" t="str" cm="1">
        <f t="array" ref="L251">IF(J251="", "", IF(
   SUMPRODUCT(
     --('4. Capabilities Assessment'!$N$14:$N$43 = $F251),
     --(IFERROR(
           INDEX(
              '10. Capability Matrix'!$B$43:$K$73,
              MATCH('4. Capabilities Assessment'!$D$14:$D$43, '10. Capability Matrix'!$B$44:$B$73, 0),
              _xlfn.XMATCH(L$226,'10. Capability Matrix'!$C$43:$K$43, 0)+1
           ),
        "") = "X")
   )&gt;0,
   "X",""))</f>
        <v/>
      </c>
      <c r="M251" s="335" t="str" cm="1">
        <f t="array" ref="M251">IF(K251="", "", IF(
   SUMPRODUCT(
     --('4. Capabilities Assessment'!$N$14:$N$43 = $F251),
     --(IFERROR(
           INDEX(
              '10. Capability Matrix'!$B$43:$K$73,
              MATCH('4. Capabilities Assessment'!$D$14:$D$43, '10. Capability Matrix'!$B$44:$B$73, 0),
              _xlfn.XMATCH(M$226,'10. Capability Matrix'!$C$43:$K$43, 0)+1
           ),
        "") = "X")
   )&gt;0,
   "X",""))</f>
        <v/>
      </c>
      <c r="N251" t="str" cm="1">
        <f t="array" ref="N251">IF(L251="", "", IF(
   SUMPRODUCT(
     --('4. Capabilities Assessment'!$N$14:$N$43 = $F251),
     --(IFERROR(
           INDEX(
              '10. Capability Matrix'!$B$43:$K$73,
              MATCH('4. Capabilities Assessment'!$D$14:$D$43, '10. Capability Matrix'!$B$44:$B$73, 0),
              _xlfn.XMATCH(N$226,'10. Capability Matrix'!$C$43:$K$43, 0)+1
           ),
        "") = "X")
   )&gt;0,
   "X",""))</f>
        <v/>
      </c>
    </row>
    <row r="252" spans="2:14" x14ac:dyDescent="0.2">
      <c r="B252" s="354" t="s">
        <v>137</v>
      </c>
      <c r="C252">
        <v>2</v>
      </c>
      <c r="E252" s="363">
        <v>26</v>
      </c>
      <c r="F252" s="332" t="str">
        <f>IF('5. Initiative List'!C31="", "", '5. Initiative List'!C31)</f>
        <v/>
      </c>
      <c r="G252" s="332" t="str" cm="1">
        <f t="array" ref="G252">IF(F252="", "", _xlfn.TEXTJOIN(", ", TRUE,
   IF('4. Capabilities Assessment'!$N$2:$N$43=$F252,
      '4. Capabilities Assessment'!$D$2:$D$43, "")))</f>
        <v/>
      </c>
      <c r="H252" s="333" t="str" cm="1">
        <f t="array" ref="H252">IF(F252="", "", IF(
   SUMPRODUCT(
     --('4. Capabilities Assessment'!$N$14:$N$43 = $F252),
     --(IFERROR(
           INDEX(
              '10. Capability Matrix'!$B$7:$K$36,
              MATCH('4. Capabilities Assessment'!$D$14:$D$43, '10. Capability Matrix'!$B$7:$B$36, 0),
              _xlfn.XMATCH(H$226,'10. Capability Matrix'!$C$6:$K$6, 0)+1
           ),
        "") = "X")
   )&gt;0,
   "X",""))</f>
        <v/>
      </c>
      <c r="I252" s="333" t="str" cm="1">
        <f t="array" ref="I252">IF(G252="", "", IF(
   SUMPRODUCT(
     --('4. Capabilities Assessment'!$N$14:$N$43 = $F252),
     --(IFERROR(
           INDEX(
              '10. Capability Matrix'!$B$7:$K$36,
              MATCH('4. Capabilities Assessment'!$D$14:$D$43, '10. Capability Matrix'!$B$7:$B$36, 0),
              _xlfn.XMATCH(I$226,'10. Capability Matrix'!$C$6:$K$6, 0)+1
           ),
        "") = "X")
   )&gt;0,
   "X",""))</f>
        <v/>
      </c>
      <c r="J252" s="333" t="str" cm="1">
        <f t="array" ref="J252">IF(H252="", "", IF(
   SUMPRODUCT(
     --('4. Capabilities Assessment'!$N$14:$N$43 = $F252),
     --(IFERROR(
           INDEX(
              '10. Capability Matrix'!$B$7:$K$36,
              MATCH('4. Capabilities Assessment'!$D$14:$D$43, '10. Capability Matrix'!$B$7:$B$36, 0),
              _xlfn.XMATCH(J$226,'10. Capability Matrix'!$C$6:$K$6, 0)+1
           ),
        "") = "X")
   )&gt;0,
   "X",""))</f>
        <v/>
      </c>
      <c r="K252" s="333" t="str" cm="1">
        <f t="array" ref="K252">IF(I252="", "", IF(
   SUMPRODUCT(
     --('4. Capabilities Assessment'!$N$14:$N$43 = $F252),
     --(IFERROR(
           INDEX(
              '10. Capability Matrix'!$B$43:$K$73,
              MATCH('4. Capabilities Assessment'!$D$14:$D$43, '10. Capability Matrix'!$B$44:$B$73, 0),
              _xlfn.XMATCH(K$226,'10. Capability Matrix'!$C$43:$K$43, 0)+1
           ),
        "") = "X")
   )&gt;0,
   "X",""))</f>
        <v/>
      </c>
      <c r="L252" s="333" t="str" cm="1">
        <f t="array" ref="L252">IF(J252="", "", IF(
   SUMPRODUCT(
     --('4. Capabilities Assessment'!$N$14:$N$43 = $F252),
     --(IFERROR(
           INDEX(
              '10. Capability Matrix'!$B$43:$K$73,
              MATCH('4. Capabilities Assessment'!$D$14:$D$43, '10. Capability Matrix'!$B$44:$B$73, 0),
              _xlfn.XMATCH(L$226,'10. Capability Matrix'!$C$43:$K$43, 0)+1
           ),
        "") = "X")
   )&gt;0,
   "X",""))</f>
        <v/>
      </c>
      <c r="M252" s="333" t="str" cm="1">
        <f t="array" ref="M252">IF(K252="", "", IF(
   SUMPRODUCT(
     --('4. Capabilities Assessment'!$N$14:$N$43 = $F252),
     --(IFERROR(
           INDEX(
              '10. Capability Matrix'!$B$43:$K$73,
              MATCH('4. Capabilities Assessment'!$D$14:$D$43, '10. Capability Matrix'!$B$44:$B$73, 0),
              _xlfn.XMATCH(M$226,'10. Capability Matrix'!$C$43:$K$43, 0)+1
           ),
        "") = "X")
   )&gt;0,
   "X",""))</f>
        <v/>
      </c>
      <c r="N252" t="str" cm="1">
        <f t="array" ref="N252">IF(L252="", "", IF(
   SUMPRODUCT(
     --('4. Capabilities Assessment'!$N$14:$N$43 = $F252),
     --(IFERROR(
           INDEX(
              '10. Capability Matrix'!$B$43:$K$73,
              MATCH('4. Capabilities Assessment'!$D$14:$D$43, '10. Capability Matrix'!$B$44:$B$73, 0),
              _xlfn.XMATCH(N$226,'10. Capability Matrix'!$C$43:$K$43, 0)+1
           ),
        "") = "X")
   )&gt;0,
   "X",""))</f>
        <v/>
      </c>
    </row>
    <row r="253" spans="2:14" x14ac:dyDescent="0.2">
      <c r="B253" s="354" t="s">
        <v>256</v>
      </c>
      <c r="C253">
        <v>2</v>
      </c>
      <c r="E253" s="364">
        <v>27</v>
      </c>
      <c r="F253" s="334" t="str">
        <f>IF('5. Initiative List'!C32="", "", '5. Initiative List'!C32)</f>
        <v/>
      </c>
      <c r="G253" s="334" t="str" cm="1">
        <f t="array" ref="G253">IF(F253="", "", _xlfn.TEXTJOIN(", ", TRUE,
   IF('4. Capabilities Assessment'!$N$2:$N$43=$F253,
      '4. Capabilities Assessment'!$D$2:$D$43, "")))</f>
        <v/>
      </c>
      <c r="H253" s="335" t="str" cm="1">
        <f t="array" ref="H253">IF(F253="", "", IF(
   SUMPRODUCT(
     --('4. Capabilities Assessment'!$N$14:$N$43 = $F253),
     --(IFERROR(
           INDEX(
              '10. Capability Matrix'!$B$7:$K$36,
              MATCH('4. Capabilities Assessment'!$D$14:$D$43, '10. Capability Matrix'!$B$7:$B$36, 0),
              _xlfn.XMATCH(H$226,'10. Capability Matrix'!$C$6:$K$6, 0)+1
           ),
        "") = "X")
   )&gt;0,
   "X",""))</f>
        <v/>
      </c>
      <c r="I253" s="335" t="str" cm="1">
        <f t="array" ref="I253">IF(G253="", "", IF(
   SUMPRODUCT(
     --('4. Capabilities Assessment'!$N$14:$N$43 = $F253),
     --(IFERROR(
           INDEX(
              '10. Capability Matrix'!$B$7:$K$36,
              MATCH('4. Capabilities Assessment'!$D$14:$D$43, '10. Capability Matrix'!$B$7:$B$36, 0),
              _xlfn.XMATCH(I$226,'10. Capability Matrix'!$C$6:$K$6, 0)+1
           ),
        "") = "X")
   )&gt;0,
   "X",""))</f>
        <v/>
      </c>
      <c r="J253" s="335" t="str" cm="1">
        <f t="array" ref="J253">IF(H253="", "", IF(
   SUMPRODUCT(
     --('4. Capabilities Assessment'!$N$14:$N$43 = $F253),
     --(IFERROR(
           INDEX(
              '10. Capability Matrix'!$B$7:$K$36,
              MATCH('4. Capabilities Assessment'!$D$14:$D$43, '10. Capability Matrix'!$B$7:$B$36, 0),
              _xlfn.XMATCH(J$226,'10. Capability Matrix'!$C$6:$K$6, 0)+1
           ),
        "") = "X")
   )&gt;0,
   "X",""))</f>
        <v/>
      </c>
      <c r="K253" s="335" t="str" cm="1">
        <f t="array" ref="K253">IF(I253="", "", IF(
   SUMPRODUCT(
     --('4. Capabilities Assessment'!$N$14:$N$43 = $F253),
     --(IFERROR(
           INDEX(
              '10. Capability Matrix'!$B$43:$K$73,
              MATCH('4. Capabilities Assessment'!$D$14:$D$43, '10. Capability Matrix'!$B$44:$B$73, 0),
              _xlfn.XMATCH(K$226,'10. Capability Matrix'!$C$43:$K$43, 0)+1
           ),
        "") = "X")
   )&gt;0,
   "X",""))</f>
        <v/>
      </c>
      <c r="L253" s="335" t="str" cm="1">
        <f t="array" ref="L253">IF(J253="", "", IF(
   SUMPRODUCT(
     --('4. Capabilities Assessment'!$N$14:$N$43 = $F253),
     --(IFERROR(
           INDEX(
              '10. Capability Matrix'!$B$43:$K$73,
              MATCH('4. Capabilities Assessment'!$D$14:$D$43, '10. Capability Matrix'!$B$44:$B$73, 0),
              _xlfn.XMATCH(L$226,'10. Capability Matrix'!$C$43:$K$43, 0)+1
           ),
        "") = "X")
   )&gt;0,
   "X",""))</f>
        <v/>
      </c>
      <c r="M253" s="335" t="str" cm="1">
        <f t="array" ref="M253">IF(K253="", "", IF(
   SUMPRODUCT(
     --('4. Capabilities Assessment'!$N$14:$N$43 = $F253),
     --(IFERROR(
           INDEX(
              '10. Capability Matrix'!$B$43:$K$73,
              MATCH('4. Capabilities Assessment'!$D$14:$D$43, '10. Capability Matrix'!$B$44:$B$73, 0),
              _xlfn.XMATCH(M$226,'10. Capability Matrix'!$C$43:$K$43, 0)+1
           ),
        "") = "X")
   )&gt;0,
   "X",""))</f>
        <v/>
      </c>
      <c r="N253" t="str" cm="1">
        <f t="array" ref="N253">IF(L253="", "", IF(
   SUMPRODUCT(
     --('4. Capabilities Assessment'!$N$14:$N$43 = $F253),
     --(IFERROR(
           INDEX(
              '10. Capability Matrix'!$B$43:$K$73,
              MATCH('4. Capabilities Assessment'!$D$14:$D$43, '10. Capability Matrix'!$B$44:$B$73, 0),
              _xlfn.XMATCH(N$226,'10. Capability Matrix'!$C$43:$K$43, 0)+1
           ),
        "") = "X")
   )&gt;0,
   "X",""))</f>
        <v/>
      </c>
    </row>
    <row r="254" spans="2:14" x14ac:dyDescent="0.2">
      <c r="B254" s="354" t="s">
        <v>319</v>
      </c>
      <c r="C254">
        <v>1</v>
      </c>
      <c r="E254" s="363">
        <v>28</v>
      </c>
      <c r="F254" s="332" t="str">
        <f>IF('5. Initiative List'!C33="", "", '5. Initiative List'!C33)</f>
        <v/>
      </c>
      <c r="G254" s="332" t="str" cm="1">
        <f t="array" ref="G254">IF(F254="", "", _xlfn.TEXTJOIN(", ", TRUE,
   IF('4. Capabilities Assessment'!$N$2:$N$43=$F254,
      '4. Capabilities Assessment'!$D$2:$D$43, "")))</f>
        <v/>
      </c>
      <c r="H254" s="333" t="str" cm="1">
        <f t="array" ref="H254">IF(F254="", "", IF(
   SUMPRODUCT(
     --('4. Capabilities Assessment'!$N$14:$N$43 = $F254),
     --(IFERROR(
           INDEX(
              '10. Capability Matrix'!$B$7:$K$36,
              MATCH('4. Capabilities Assessment'!$D$14:$D$43, '10. Capability Matrix'!$B$7:$B$36, 0),
              _xlfn.XMATCH(H$226,'10. Capability Matrix'!$C$6:$K$6, 0)+1
           ),
        "") = "X")
   )&gt;0,
   "X",""))</f>
        <v/>
      </c>
      <c r="I254" s="333" t="str" cm="1">
        <f t="array" ref="I254">IF(G254="", "", IF(
   SUMPRODUCT(
     --('4. Capabilities Assessment'!$N$14:$N$43 = $F254),
     --(IFERROR(
           INDEX(
              '10. Capability Matrix'!$B$7:$K$36,
              MATCH('4. Capabilities Assessment'!$D$14:$D$43, '10. Capability Matrix'!$B$7:$B$36, 0),
              _xlfn.XMATCH(I$226,'10. Capability Matrix'!$C$6:$K$6, 0)+1
           ),
        "") = "X")
   )&gt;0,
   "X",""))</f>
        <v/>
      </c>
      <c r="J254" s="333" t="str" cm="1">
        <f t="array" ref="J254">IF(H254="", "", IF(
   SUMPRODUCT(
     --('4. Capabilities Assessment'!$N$14:$N$43 = $F254),
     --(IFERROR(
           INDEX(
              '10. Capability Matrix'!$B$7:$K$36,
              MATCH('4. Capabilities Assessment'!$D$14:$D$43, '10. Capability Matrix'!$B$7:$B$36, 0),
              _xlfn.XMATCH(J$226,'10. Capability Matrix'!$C$6:$K$6, 0)+1
           ),
        "") = "X")
   )&gt;0,
   "X",""))</f>
        <v/>
      </c>
      <c r="K254" s="333" t="str" cm="1">
        <f t="array" ref="K254">IF(I254="", "", IF(
   SUMPRODUCT(
     --('4. Capabilities Assessment'!$N$14:$N$43 = $F254),
     --(IFERROR(
           INDEX(
              '10. Capability Matrix'!$B$43:$K$73,
              MATCH('4. Capabilities Assessment'!$D$14:$D$43, '10. Capability Matrix'!$B$44:$B$73, 0),
              _xlfn.XMATCH(K$226,'10. Capability Matrix'!$C$43:$K$43, 0)+1
           ),
        "") = "X")
   )&gt;0,
   "X",""))</f>
        <v/>
      </c>
      <c r="L254" s="333" t="str" cm="1">
        <f t="array" ref="L254">IF(J254="", "", IF(
   SUMPRODUCT(
     --('4. Capabilities Assessment'!$N$14:$N$43 = $F254),
     --(IFERROR(
           INDEX(
              '10. Capability Matrix'!$B$43:$K$73,
              MATCH('4. Capabilities Assessment'!$D$14:$D$43, '10. Capability Matrix'!$B$44:$B$73, 0),
              _xlfn.XMATCH(L$226,'10. Capability Matrix'!$C$43:$K$43, 0)+1
           ),
        "") = "X")
   )&gt;0,
   "X",""))</f>
        <v/>
      </c>
      <c r="M254" s="333" t="str" cm="1">
        <f t="array" ref="M254">IF(K254="", "", IF(
   SUMPRODUCT(
     --('4. Capabilities Assessment'!$N$14:$N$43 = $F254),
     --(IFERROR(
           INDEX(
              '10. Capability Matrix'!$B$43:$K$73,
              MATCH('4. Capabilities Assessment'!$D$14:$D$43, '10. Capability Matrix'!$B$44:$B$73, 0),
              _xlfn.XMATCH(M$226,'10. Capability Matrix'!$C$43:$K$43, 0)+1
           ),
        "") = "X")
   )&gt;0,
   "X",""))</f>
        <v/>
      </c>
      <c r="N254" t="str" cm="1">
        <f t="array" ref="N254">IF(L254="", "", IF(
   SUMPRODUCT(
     --('4. Capabilities Assessment'!$N$14:$N$43 = $F254),
     --(IFERROR(
           INDEX(
              '10. Capability Matrix'!$B$43:$K$73,
              MATCH('4. Capabilities Assessment'!$D$14:$D$43, '10. Capability Matrix'!$B$44:$B$73, 0),
              _xlfn.XMATCH(N$226,'10. Capability Matrix'!$C$43:$K$43, 0)+1
           ),
        "") = "X")
   )&gt;0,
   "X",""))</f>
        <v/>
      </c>
    </row>
    <row r="255" spans="2:14" x14ac:dyDescent="0.2">
      <c r="B255" s="354" t="s">
        <v>192</v>
      </c>
      <c r="C255">
        <v>1</v>
      </c>
      <c r="E255" s="364">
        <v>29</v>
      </c>
      <c r="F255" s="334" t="str">
        <f>IF('5. Initiative List'!C34="", "", '5. Initiative List'!C34)</f>
        <v/>
      </c>
      <c r="G255" s="334" t="str" cm="1">
        <f t="array" ref="G255">IF(F255="", "", _xlfn.TEXTJOIN(", ", TRUE,
   IF('4. Capabilities Assessment'!$N$2:$N$43=$F255,
      '4. Capabilities Assessment'!$D$2:$D$43, "")))</f>
        <v/>
      </c>
      <c r="H255" s="335" t="str" cm="1">
        <f t="array" ref="H255">IF(F255="", "", IF(
   SUMPRODUCT(
     --('4. Capabilities Assessment'!$N$14:$N$43 = $F255),
     --(IFERROR(
           INDEX(
              '10. Capability Matrix'!$B$7:$K$36,
              MATCH('4. Capabilities Assessment'!$D$14:$D$43, '10. Capability Matrix'!$B$7:$B$36, 0),
              _xlfn.XMATCH(H$226,'10. Capability Matrix'!$C$6:$K$6, 0)+1
           ),
        "") = "X")
   )&gt;0,
   "X",""))</f>
        <v/>
      </c>
      <c r="I255" s="335" t="str" cm="1">
        <f t="array" ref="I255">IF(G255="", "", IF(
   SUMPRODUCT(
     --('4. Capabilities Assessment'!$N$14:$N$43 = $F255),
     --(IFERROR(
           INDEX(
              '10. Capability Matrix'!$B$7:$K$36,
              MATCH('4. Capabilities Assessment'!$D$14:$D$43, '10. Capability Matrix'!$B$7:$B$36, 0),
              _xlfn.XMATCH(I$226,'10. Capability Matrix'!$C$6:$K$6, 0)+1
           ),
        "") = "X")
   )&gt;0,
   "X",""))</f>
        <v/>
      </c>
      <c r="J255" s="335" t="str" cm="1">
        <f t="array" ref="J255">IF(H255="", "", IF(
   SUMPRODUCT(
     --('4. Capabilities Assessment'!$N$14:$N$43 = $F255),
     --(IFERROR(
           INDEX(
              '10. Capability Matrix'!$B$7:$K$36,
              MATCH('4. Capabilities Assessment'!$D$14:$D$43, '10. Capability Matrix'!$B$7:$B$36, 0),
              _xlfn.XMATCH(J$226,'10. Capability Matrix'!$C$6:$K$6, 0)+1
           ),
        "") = "X")
   )&gt;0,
   "X",""))</f>
        <v/>
      </c>
      <c r="K255" s="335" t="str" cm="1">
        <f t="array" ref="K255">IF(I255="", "", IF(
   SUMPRODUCT(
     --('4. Capabilities Assessment'!$N$14:$N$43 = $F255),
     --(IFERROR(
           INDEX(
              '10. Capability Matrix'!$B$43:$K$73,
              MATCH('4. Capabilities Assessment'!$D$14:$D$43, '10. Capability Matrix'!$B$44:$B$73, 0),
              _xlfn.XMATCH(K$226,'10. Capability Matrix'!$C$43:$K$43, 0)+1
           ),
        "") = "X")
   )&gt;0,
   "X",""))</f>
        <v/>
      </c>
      <c r="L255" s="335" t="str" cm="1">
        <f t="array" ref="L255">IF(J255="", "", IF(
   SUMPRODUCT(
     --('4. Capabilities Assessment'!$N$14:$N$43 = $F255),
     --(IFERROR(
           INDEX(
              '10. Capability Matrix'!$B$43:$K$73,
              MATCH('4. Capabilities Assessment'!$D$14:$D$43, '10. Capability Matrix'!$B$44:$B$73, 0),
              _xlfn.XMATCH(L$226,'10. Capability Matrix'!$C$43:$K$43, 0)+1
           ),
        "") = "X")
   )&gt;0,
   "X",""))</f>
        <v/>
      </c>
      <c r="M255" s="335" t="str" cm="1">
        <f t="array" ref="M255">IF(K255="", "", IF(
   SUMPRODUCT(
     --('4. Capabilities Assessment'!$N$14:$N$43 = $F255),
     --(IFERROR(
           INDEX(
              '10. Capability Matrix'!$B$43:$K$73,
              MATCH('4. Capabilities Assessment'!$D$14:$D$43, '10. Capability Matrix'!$B$44:$B$73, 0),
              _xlfn.XMATCH(M$226,'10. Capability Matrix'!$C$43:$K$43, 0)+1
           ),
        "") = "X")
   )&gt;0,
   "X",""))</f>
        <v/>
      </c>
      <c r="N255" t="str" cm="1">
        <f t="array" ref="N255">IF(L255="", "", IF(
   SUMPRODUCT(
     --('4. Capabilities Assessment'!$N$14:$N$43 = $F255),
     --(IFERROR(
           INDEX(
              '10. Capability Matrix'!$B$43:$K$73,
              MATCH('4. Capabilities Assessment'!$D$14:$D$43, '10. Capability Matrix'!$B$44:$B$73, 0),
              _xlfn.XMATCH(N$226,'10. Capability Matrix'!$C$43:$K$43, 0)+1
           ),
        "") = "X")
   )&gt;0,
   "X",""))</f>
        <v/>
      </c>
    </row>
    <row r="256" spans="2:14" x14ac:dyDescent="0.2">
      <c r="B256" s="354" t="s">
        <v>158</v>
      </c>
      <c r="C256">
        <v>1</v>
      </c>
      <c r="E256" s="363">
        <v>30</v>
      </c>
      <c r="F256" s="332" t="str">
        <f>IF('5. Initiative List'!C35="", "", '5. Initiative List'!C35)</f>
        <v/>
      </c>
      <c r="G256" s="332" t="str" cm="1">
        <f t="array" ref="G256">IF(F256="", "", _xlfn.TEXTJOIN(", ", TRUE,
   IF('4. Capabilities Assessment'!$N$2:$N$43=$F256,
      '4. Capabilities Assessment'!$D$2:$D$43, "")))</f>
        <v/>
      </c>
      <c r="H256" s="333" t="str" cm="1">
        <f t="array" ref="H256">IF(F256="", "", IF(
   SUMPRODUCT(
     --('4. Capabilities Assessment'!$N$14:$N$43 = $F256),
     --(IFERROR(
           INDEX(
              '10. Capability Matrix'!$B$7:$K$36,
              MATCH('4. Capabilities Assessment'!$D$14:$D$43, '10. Capability Matrix'!$B$7:$B$36, 0),
              _xlfn.XMATCH(H$226,'10. Capability Matrix'!$C$6:$K$6, 0)+1
           ),
        "") = "X")
   )&gt;0,
   "X",""))</f>
        <v/>
      </c>
      <c r="I256" s="333" t="str" cm="1">
        <f t="array" ref="I256">IF(G256="", "", IF(
   SUMPRODUCT(
     --('4. Capabilities Assessment'!$N$14:$N$43 = $F256),
     --(IFERROR(
           INDEX(
              '10. Capability Matrix'!$B$7:$K$36,
              MATCH('4. Capabilities Assessment'!$D$14:$D$43, '10. Capability Matrix'!$B$7:$B$36, 0),
              _xlfn.XMATCH(I$226,'10. Capability Matrix'!$C$6:$K$6, 0)+1
           ),
        "") = "X")
   )&gt;0,
   "X",""))</f>
        <v/>
      </c>
      <c r="J256" s="333" t="str" cm="1">
        <f t="array" ref="J256">IF(H256="", "", IF(
   SUMPRODUCT(
     --('4. Capabilities Assessment'!$N$14:$N$43 = $F256),
     --(IFERROR(
           INDEX(
              '10. Capability Matrix'!$B$7:$K$36,
              MATCH('4. Capabilities Assessment'!$D$14:$D$43, '10. Capability Matrix'!$B$7:$B$36, 0),
              _xlfn.XMATCH(J$226,'10. Capability Matrix'!$C$6:$K$6, 0)+1
           ),
        "") = "X")
   )&gt;0,
   "X",""))</f>
        <v/>
      </c>
      <c r="K256" s="333" t="str" cm="1">
        <f t="array" ref="K256">IF(I256="", "", IF(
   SUMPRODUCT(
     --('4. Capabilities Assessment'!$N$14:$N$43 = $F256),
     --(IFERROR(
           INDEX(
              '10. Capability Matrix'!$B$43:$K$73,
              MATCH('4. Capabilities Assessment'!$D$14:$D$43, '10. Capability Matrix'!$B$44:$B$73, 0),
              _xlfn.XMATCH(K$226,'10. Capability Matrix'!$C$43:$K$43, 0)+1
           ),
        "") = "X")
   )&gt;0,
   "X",""))</f>
        <v/>
      </c>
      <c r="L256" s="333" t="str" cm="1">
        <f t="array" ref="L256">IF(J256="", "", IF(
   SUMPRODUCT(
     --('4. Capabilities Assessment'!$N$14:$N$43 = $F256),
     --(IFERROR(
           INDEX(
              '10. Capability Matrix'!$B$43:$K$73,
              MATCH('4. Capabilities Assessment'!$D$14:$D$43, '10. Capability Matrix'!$B$44:$B$73, 0),
              _xlfn.XMATCH(L$226,'10. Capability Matrix'!$C$43:$K$43, 0)+1
           ),
        "") = "X")
   )&gt;0,
   "X",""))</f>
        <v/>
      </c>
      <c r="M256" s="333" t="str" cm="1">
        <f t="array" ref="M256">IF(K256="", "", IF(
   SUMPRODUCT(
     --('4. Capabilities Assessment'!$N$14:$N$43 = $F256),
     --(IFERROR(
           INDEX(
              '10. Capability Matrix'!$B$43:$K$73,
              MATCH('4. Capabilities Assessment'!$D$14:$D$43, '10. Capability Matrix'!$B$44:$B$73, 0),
              _xlfn.XMATCH(M$226,'10. Capability Matrix'!$C$43:$K$43, 0)+1
           ),
        "") = "X")
   )&gt;0,
   "X",""))</f>
        <v/>
      </c>
      <c r="N256" t="str" cm="1">
        <f t="array" ref="N256">IF(L256="", "", IF(
   SUMPRODUCT(
     --('4. Capabilities Assessment'!$N$14:$N$43 = $F256),
     --(IFERROR(
           INDEX(
              '10. Capability Matrix'!$B$43:$K$73,
              MATCH('4. Capabilities Assessment'!$D$14:$D$43, '10. Capability Matrix'!$B$44:$B$73, 0),
              _xlfn.XMATCH(N$226,'10. Capability Matrix'!$C$43:$K$43, 0)+1
           ),
        "") = "X")
   )&gt;0,
   "X",""))</f>
        <v/>
      </c>
    </row>
    <row r="257" spans="5:14" x14ac:dyDescent="0.2">
      <c r="E257" s="364">
        <v>31</v>
      </c>
      <c r="F257" s="334" t="str">
        <f>IF('5. Initiative List'!C36="", "", '5. Initiative List'!C36)</f>
        <v/>
      </c>
      <c r="G257" s="334" t="str" cm="1">
        <f t="array" ref="G257">IF(F257="", "", _xlfn.TEXTJOIN(", ", TRUE,
   IF('4. Capabilities Assessment'!$N$2:$N$43=$F257,
      '4. Capabilities Assessment'!$D$2:$D$43, "")))</f>
        <v/>
      </c>
      <c r="H257" s="335" t="str" cm="1">
        <f t="array" ref="H257">IF(F257="", "", IF(
   SUMPRODUCT(
     --('4. Capabilities Assessment'!$N$14:$N$43 = $F257),
     --(IFERROR(
           INDEX(
              '10. Capability Matrix'!$B$7:$K$36,
              MATCH('4. Capabilities Assessment'!$D$14:$D$43, '10. Capability Matrix'!$B$7:$B$36, 0),
              _xlfn.XMATCH(H$226,'10. Capability Matrix'!$C$6:$K$6, 0)+1
           ),
        "") = "X")
   )&gt;0,
   "X",""))</f>
        <v/>
      </c>
      <c r="I257" s="335" t="str" cm="1">
        <f t="array" ref="I257">IF(G257="", "", IF(
   SUMPRODUCT(
     --('4. Capabilities Assessment'!$N$14:$N$43 = $F257),
     --(IFERROR(
           INDEX(
              '10. Capability Matrix'!$B$7:$K$36,
              MATCH('4. Capabilities Assessment'!$D$14:$D$43, '10. Capability Matrix'!$B$7:$B$36, 0),
              _xlfn.XMATCH(I$226,'10. Capability Matrix'!$C$6:$K$6, 0)+1
           ),
        "") = "X")
   )&gt;0,
   "X",""))</f>
        <v/>
      </c>
      <c r="J257" s="335" t="str" cm="1">
        <f t="array" ref="J257">IF(H257="", "", IF(
   SUMPRODUCT(
     --('4. Capabilities Assessment'!$N$14:$N$43 = $F257),
     --(IFERROR(
           INDEX(
              '10. Capability Matrix'!$B$7:$K$36,
              MATCH('4. Capabilities Assessment'!$D$14:$D$43, '10. Capability Matrix'!$B$7:$B$36, 0),
              _xlfn.XMATCH(J$226,'10. Capability Matrix'!$C$6:$K$6, 0)+1
           ),
        "") = "X")
   )&gt;0,
   "X",""))</f>
        <v/>
      </c>
      <c r="K257" s="335" t="str" cm="1">
        <f t="array" ref="K257">IF(I257="", "", IF(
   SUMPRODUCT(
     --('4. Capabilities Assessment'!$N$14:$N$43 = $F257),
     --(IFERROR(
           INDEX(
              '10. Capability Matrix'!$B$43:$K$73,
              MATCH('4. Capabilities Assessment'!$D$14:$D$43, '10. Capability Matrix'!$B$44:$B$73, 0),
              _xlfn.XMATCH(K$226,'10. Capability Matrix'!$C$43:$K$43, 0)+1
           ),
        "") = "X")
   )&gt;0,
   "X",""))</f>
        <v/>
      </c>
      <c r="L257" s="335" t="str" cm="1">
        <f t="array" ref="L257">IF(J257="", "", IF(
   SUMPRODUCT(
     --('4. Capabilities Assessment'!$N$14:$N$43 = $F257),
     --(IFERROR(
           INDEX(
              '10. Capability Matrix'!$B$43:$K$73,
              MATCH('4. Capabilities Assessment'!$D$14:$D$43, '10. Capability Matrix'!$B$44:$B$73, 0),
              _xlfn.XMATCH(L$226,'10. Capability Matrix'!$C$43:$K$43, 0)+1
           ),
        "") = "X")
   )&gt;0,
   "X",""))</f>
        <v/>
      </c>
      <c r="M257" s="335" t="str" cm="1">
        <f t="array" ref="M257">IF(K257="", "", IF(
   SUMPRODUCT(
     --('4. Capabilities Assessment'!$N$14:$N$43 = $F257),
     --(IFERROR(
           INDEX(
              '10. Capability Matrix'!$B$43:$K$73,
              MATCH('4. Capabilities Assessment'!$D$14:$D$43, '10. Capability Matrix'!$B$44:$B$73, 0),
              _xlfn.XMATCH(M$226,'10. Capability Matrix'!$C$43:$K$43, 0)+1
           ),
        "") = "X")
   )&gt;0,
   "X",""))</f>
        <v/>
      </c>
      <c r="N257" t="str" cm="1">
        <f t="array" ref="N257">IF(L257="", "", IF(
   SUMPRODUCT(
     --('4. Capabilities Assessment'!$N$14:$N$43 = $F257),
     --(IFERROR(
           INDEX(
              '10. Capability Matrix'!$B$43:$K$73,
              MATCH('4. Capabilities Assessment'!$D$14:$D$43, '10. Capability Matrix'!$B$44:$B$73, 0),
              _xlfn.XMATCH(N$226,'10. Capability Matrix'!$C$43:$K$43, 0)+1
           ),
        "") = "X")
   )&gt;0,
   "X",""))</f>
        <v/>
      </c>
    </row>
    <row r="258" spans="5:14" x14ac:dyDescent="0.2">
      <c r="E258" s="363">
        <v>32</v>
      </c>
      <c r="F258" s="332" t="str">
        <f>IF('5. Initiative List'!C37="", "", '5. Initiative List'!C37)</f>
        <v/>
      </c>
      <c r="G258" s="332" t="str" cm="1">
        <f t="array" ref="G258">IF(F258="", "", _xlfn.TEXTJOIN(", ", TRUE,
   IF('4. Capabilities Assessment'!$N$2:$N$43=$F258,
      '4. Capabilities Assessment'!$D$2:$D$43, "")))</f>
        <v/>
      </c>
      <c r="H258" s="333" t="str" cm="1">
        <f t="array" ref="H258">IF(F258="", "", IF(
   SUMPRODUCT(
     --('4. Capabilities Assessment'!$N$14:$N$43 = $F258),
     --(IFERROR(
           INDEX(
              '10. Capability Matrix'!$B$7:$K$36,
              MATCH('4. Capabilities Assessment'!$D$14:$D$43, '10. Capability Matrix'!$B$7:$B$36, 0),
              _xlfn.XMATCH(H$226,'10. Capability Matrix'!$C$6:$K$6, 0)+1
           ),
        "") = "X")
   )&gt;0,
   "X",""))</f>
        <v/>
      </c>
      <c r="I258" s="333" t="str" cm="1">
        <f t="array" ref="I258">IF(G258="", "", IF(
   SUMPRODUCT(
     --('4. Capabilities Assessment'!$N$14:$N$43 = $F258),
     --(IFERROR(
           INDEX(
              '10. Capability Matrix'!$B$7:$K$36,
              MATCH('4. Capabilities Assessment'!$D$14:$D$43, '10. Capability Matrix'!$B$7:$B$36, 0),
              _xlfn.XMATCH(I$226,'10. Capability Matrix'!$C$6:$K$6, 0)+1
           ),
        "") = "X")
   )&gt;0,
   "X",""))</f>
        <v/>
      </c>
      <c r="J258" s="333" t="str" cm="1">
        <f t="array" ref="J258">IF(H258="", "", IF(
   SUMPRODUCT(
     --('4. Capabilities Assessment'!$N$14:$N$43 = $F258),
     --(IFERROR(
           INDEX(
              '10. Capability Matrix'!$B$7:$K$36,
              MATCH('4. Capabilities Assessment'!$D$14:$D$43, '10. Capability Matrix'!$B$7:$B$36, 0),
              _xlfn.XMATCH(J$226,'10. Capability Matrix'!$C$6:$K$6, 0)+1
           ),
        "") = "X")
   )&gt;0,
   "X",""))</f>
        <v/>
      </c>
      <c r="K258" s="333" t="str" cm="1">
        <f t="array" ref="K258">IF(I258="", "", IF(
   SUMPRODUCT(
     --('4. Capabilities Assessment'!$N$14:$N$43 = $F258),
     --(IFERROR(
           INDEX(
              '10. Capability Matrix'!$B$43:$K$73,
              MATCH('4. Capabilities Assessment'!$D$14:$D$43, '10. Capability Matrix'!$B$44:$B$73, 0),
              _xlfn.XMATCH(K$226,'10. Capability Matrix'!$C$43:$K$43, 0)+1
           ),
        "") = "X")
   )&gt;0,
   "X",""))</f>
        <v/>
      </c>
      <c r="L258" s="333" t="str" cm="1">
        <f t="array" ref="L258">IF(J258="", "", IF(
   SUMPRODUCT(
     --('4. Capabilities Assessment'!$N$14:$N$43 = $F258),
     --(IFERROR(
           INDEX(
              '10. Capability Matrix'!$B$43:$K$73,
              MATCH('4. Capabilities Assessment'!$D$14:$D$43, '10. Capability Matrix'!$B$44:$B$73, 0),
              _xlfn.XMATCH(L$226,'10. Capability Matrix'!$C$43:$K$43, 0)+1
           ),
        "") = "X")
   )&gt;0,
   "X",""))</f>
        <v/>
      </c>
      <c r="M258" s="333" t="str" cm="1">
        <f t="array" ref="M258">IF(K258="", "", IF(
   SUMPRODUCT(
     --('4. Capabilities Assessment'!$N$14:$N$43 = $F258),
     --(IFERROR(
           INDEX(
              '10. Capability Matrix'!$B$43:$K$73,
              MATCH('4. Capabilities Assessment'!$D$14:$D$43, '10. Capability Matrix'!$B$44:$B$73, 0),
              _xlfn.XMATCH(M$226,'10. Capability Matrix'!$C$43:$K$43, 0)+1
           ),
        "") = "X")
   )&gt;0,
   "X",""))</f>
        <v/>
      </c>
      <c r="N258" t="str" cm="1">
        <f t="array" ref="N258">IF(L258="", "", IF(
   SUMPRODUCT(
     --('4. Capabilities Assessment'!$N$14:$N$43 = $F258),
     --(IFERROR(
           INDEX(
              '10. Capability Matrix'!$B$43:$K$73,
              MATCH('4. Capabilities Assessment'!$D$14:$D$43, '10. Capability Matrix'!$B$44:$B$73, 0),
              _xlfn.XMATCH(N$226,'10. Capability Matrix'!$C$43:$K$43, 0)+1
           ),
        "") = "X")
   )&gt;0,
   "X",""))</f>
        <v/>
      </c>
    </row>
    <row r="259" spans="5:14" x14ac:dyDescent="0.2">
      <c r="E259" s="364">
        <v>33</v>
      </c>
      <c r="F259" s="334" t="str">
        <f>IF('5. Initiative List'!C38="", "", '5. Initiative List'!C38)</f>
        <v/>
      </c>
      <c r="G259" s="334" t="str" cm="1">
        <f t="array" ref="G259">IF(F259="", "", _xlfn.TEXTJOIN(", ", TRUE,
   IF('4. Capabilities Assessment'!$N$2:$N$43=$F259,
      '4. Capabilities Assessment'!$D$2:$D$43, "")))</f>
        <v/>
      </c>
      <c r="H259" s="335" t="str" cm="1">
        <f t="array" ref="H259">IF(F259="", "", IF(
   SUMPRODUCT(
     --('4. Capabilities Assessment'!$N$14:$N$43 = $F259),
     --(IFERROR(
           INDEX(
              '10. Capability Matrix'!$B$7:$K$36,
              MATCH('4. Capabilities Assessment'!$D$14:$D$43, '10. Capability Matrix'!$B$7:$B$36, 0),
              _xlfn.XMATCH(H$226,'10. Capability Matrix'!$C$6:$K$6, 0)+1
           ),
        "") = "X")
   )&gt;0,
   "X",""))</f>
        <v/>
      </c>
      <c r="I259" s="335" t="str" cm="1">
        <f t="array" ref="I259">IF(G259="", "", IF(
   SUMPRODUCT(
     --('4. Capabilities Assessment'!$N$14:$N$43 = $F259),
     --(IFERROR(
           INDEX(
              '10. Capability Matrix'!$B$7:$K$36,
              MATCH('4. Capabilities Assessment'!$D$14:$D$43, '10. Capability Matrix'!$B$7:$B$36, 0),
              _xlfn.XMATCH(I$226,'10. Capability Matrix'!$C$6:$K$6, 0)+1
           ),
        "") = "X")
   )&gt;0,
   "X",""))</f>
        <v/>
      </c>
      <c r="J259" s="335" t="str" cm="1">
        <f t="array" ref="J259">IF(H259="", "", IF(
   SUMPRODUCT(
     --('4. Capabilities Assessment'!$N$14:$N$43 = $F259),
     --(IFERROR(
           INDEX(
              '10. Capability Matrix'!$B$7:$K$36,
              MATCH('4. Capabilities Assessment'!$D$14:$D$43, '10. Capability Matrix'!$B$7:$B$36, 0),
              _xlfn.XMATCH(J$226,'10. Capability Matrix'!$C$6:$K$6, 0)+1
           ),
        "") = "X")
   )&gt;0,
   "X",""))</f>
        <v/>
      </c>
      <c r="K259" s="335" t="str" cm="1">
        <f t="array" ref="K259">IF(I259="", "", IF(
   SUMPRODUCT(
     --('4. Capabilities Assessment'!$N$14:$N$43 = $F259),
     --(IFERROR(
           INDEX(
              '10. Capability Matrix'!$B$43:$K$73,
              MATCH('4. Capabilities Assessment'!$D$14:$D$43, '10. Capability Matrix'!$B$44:$B$73, 0),
              _xlfn.XMATCH(K$226,'10. Capability Matrix'!$C$43:$K$43, 0)+1
           ),
        "") = "X")
   )&gt;0,
   "X",""))</f>
        <v/>
      </c>
      <c r="L259" s="335" t="str" cm="1">
        <f t="array" ref="L259">IF(J259="", "", IF(
   SUMPRODUCT(
     --('4. Capabilities Assessment'!$N$14:$N$43 = $F259),
     --(IFERROR(
           INDEX(
              '10. Capability Matrix'!$B$43:$K$73,
              MATCH('4. Capabilities Assessment'!$D$14:$D$43, '10. Capability Matrix'!$B$44:$B$73, 0),
              _xlfn.XMATCH(L$226,'10. Capability Matrix'!$C$43:$K$43, 0)+1
           ),
        "") = "X")
   )&gt;0,
   "X",""))</f>
        <v/>
      </c>
      <c r="M259" s="335" t="str" cm="1">
        <f t="array" ref="M259">IF(K259="", "", IF(
   SUMPRODUCT(
     --('4. Capabilities Assessment'!$N$14:$N$43 = $F259),
     --(IFERROR(
           INDEX(
              '10. Capability Matrix'!$B$43:$K$73,
              MATCH('4. Capabilities Assessment'!$D$14:$D$43, '10. Capability Matrix'!$B$44:$B$73, 0),
              _xlfn.XMATCH(M$226,'10. Capability Matrix'!$C$43:$K$43, 0)+1
           ),
        "") = "X")
   )&gt;0,
   "X",""))</f>
        <v/>
      </c>
      <c r="N259" t="str" cm="1">
        <f t="array" ref="N259">IF(L259="", "", IF(
   SUMPRODUCT(
     --('4. Capabilities Assessment'!$N$14:$N$43 = $F259),
     --(IFERROR(
           INDEX(
              '10. Capability Matrix'!$B$43:$K$73,
              MATCH('4. Capabilities Assessment'!$D$14:$D$43, '10. Capability Matrix'!$B$44:$B$73, 0),
              _xlfn.XMATCH(N$226,'10. Capability Matrix'!$C$43:$K$43, 0)+1
           ),
        "") = "X")
   )&gt;0,
   "X",""))</f>
        <v/>
      </c>
    </row>
    <row r="260" spans="5:14" x14ac:dyDescent="0.2">
      <c r="E260" s="363">
        <v>34</v>
      </c>
      <c r="F260" s="332" t="str">
        <f>IF('5. Initiative List'!C39="", "", '5. Initiative List'!C39)</f>
        <v/>
      </c>
      <c r="G260" s="332" t="str" cm="1">
        <f t="array" ref="G260">IF(F260="", "", _xlfn.TEXTJOIN(", ", TRUE,
   IF('4. Capabilities Assessment'!$N$2:$N$43=$F260,
      '4. Capabilities Assessment'!$D$2:$D$43, "")))</f>
        <v/>
      </c>
      <c r="H260" s="333" t="str" cm="1">
        <f t="array" ref="H260">IF(F260="", "", IF(
   SUMPRODUCT(
     --('4. Capabilities Assessment'!$N$14:$N$43 = $F260),
     --(IFERROR(
           INDEX(
              '10. Capability Matrix'!$B$7:$K$36,
              MATCH('4. Capabilities Assessment'!$D$14:$D$43, '10. Capability Matrix'!$B$7:$B$36, 0),
              _xlfn.XMATCH(H$226,'10. Capability Matrix'!$C$6:$K$6, 0)+1
           ),
        "") = "X")
   )&gt;0,
   "X",""))</f>
        <v/>
      </c>
      <c r="I260" s="333" t="str" cm="1">
        <f t="array" ref="I260">IF(G260="", "", IF(
   SUMPRODUCT(
     --('4. Capabilities Assessment'!$N$14:$N$43 = $F260),
     --(IFERROR(
           INDEX(
              '10. Capability Matrix'!$B$7:$K$36,
              MATCH('4. Capabilities Assessment'!$D$14:$D$43, '10. Capability Matrix'!$B$7:$B$36, 0),
              _xlfn.XMATCH(I$226,'10. Capability Matrix'!$C$6:$K$6, 0)+1
           ),
        "") = "X")
   )&gt;0,
   "X",""))</f>
        <v/>
      </c>
      <c r="J260" s="333" t="str" cm="1">
        <f t="array" ref="J260">IF(H260="", "", IF(
   SUMPRODUCT(
     --('4. Capabilities Assessment'!$N$14:$N$43 = $F260),
     --(IFERROR(
           INDEX(
              '10. Capability Matrix'!$B$7:$K$36,
              MATCH('4. Capabilities Assessment'!$D$14:$D$43, '10. Capability Matrix'!$B$7:$B$36, 0),
              _xlfn.XMATCH(J$226,'10. Capability Matrix'!$C$6:$K$6, 0)+1
           ),
        "") = "X")
   )&gt;0,
   "X",""))</f>
        <v/>
      </c>
      <c r="K260" s="333" t="str" cm="1">
        <f t="array" ref="K260">IF(I260="", "", IF(
   SUMPRODUCT(
     --('4. Capabilities Assessment'!$N$14:$N$43 = $F260),
     --(IFERROR(
           INDEX(
              '10. Capability Matrix'!$B$43:$K$73,
              MATCH('4. Capabilities Assessment'!$D$14:$D$43, '10. Capability Matrix'!$B$44:$B$73, 0),
              _xlfn.XMATCH(K$226,'10. Capability Matrix'!$C$43:$K$43, 0)+1
           ),
        "") = "X")
   )&gt;0,
   "X",""))</f>
        <v/>
      </c>
      <c r="L260" s="333" t="str" cm="1">
        <f t="array" ref="L260">IF(J260="", "", IF(
   SUMPRODUCT(
     --('4. Capabilities Assessment'!$N$14:$N$43 = $F260),
     --(IFERROR(
           INDEX(
              '10. Capability Matrix'!$B$43:$K$73,
              MATCH('4. Capabilities Assessment'!$D$14:$D$43, '10. Capability Matrix'!$B$44:$B$73, 0),
              _xlfn.XMATCH(L$226,'10. Capability Matrix'!$C$43:$K$43, 0)+1
           ),
        "") = "X")
   )&gt;0,
   "X",""))</f>
        <v/>
      </c>
      <c r="M260" s="333" t="str" cm="1">
        <f t="array" ref="M260">IF(K260="", "", IF(
   SUMPRODUCT(
     --('4. Capabilities Assessment'!$N$14:$N$43 = $F260),
     --(IFERROR(
           INDEX(
              '10. Capability Matrix'!$B$43:$K$73,
              MATCH('4. Capabilities Assessment'!$D$14:$D$43, '10. Capability Matrix'!$B$44:$B$73, 0),
              _xlfn.XMATCH(M$226,'10. Capability Matrix'!$C$43:$K$43, 0)+1
           ),
        "") = "X")
   )&gt;0,
   "X",""))</f>
        <v/>
      </c>
      <c r="N260" t="str" cm="1">
        <f t="array" ref="N260">IF(L260="", "", IF(
   SUMPRODUCT(
     --('4. Capabilities Assessment'!$N$14:$N$43 = $F260),
     --(IFERROR(
           INDEX(
              '10. Capability Matrix'!$B$43:$K$73,
              MATCH('4. Capabilities Assessment'!$D$14:$D$43, '10. Capability Matrix'!$B$44:$B$73, 0),
              _xlfn.XMATCH(N$226,'10. Capability Matrix'!$C$43:$K$43, 0)+1
           ),
        "") = "X")
   )&gt;0,
   "X",""))</f>
        <v/>
      </c>
    </row>
    <row r="261" spans="5:14" x14ac:dyDescent="0.2">
      <c r="E261" s="364">
        <v>35</v>
      </c>
      <c r="F261" s="334" t="str">
        <f>IF('5. Initiative List'!C40="", "", '5. Initiative List'!C40)</f>
        <v/>
      </c>
      <c r="G261" s="334" t="str" cm="1">
        <f t="array" ref="G261">IF(F261="", "", _xlfn.TEXTJOIN(", ", TRUE,
   IF('4. Capabilities Assessment'!$N$2:$N$43=$F261,
      '4. Capabilities Assessment'!$D$2:$D$43, "")))</f>
        <v/>
      </c>
      <c r="H261" s="335" t="str" cm="1">
        <f t="array" ref="H261">IF(F261="", "", IF(
   SUMPRODUCT(
     --('4. Capabilities Assessment'!$N$14:$N$43 = $F261),
     --(IFERROR(
           INDEX(
              '10. Capability Matrix'!$B$7:$K$36,
              MATCH('4. Capabilities Assessment'!$D$14:$D$43, '10. Capability Matrix'!$B$7:$B$36, 0),
              _xlfn.XMATCH(H$226,'10. Capability Matrix'!$C$6:$K$6, 0)+1
           ),
        "") = "X")
   )&gt;0,
   "X",""))</f>
        <v/>
      </c>
      <c r="I261" s="335" t="str" cm="1">
        <f t="array" ref="I261">IF(G261="", "", IF(
   SUMPRODUCT(
     --('4. Capabilities Assessment'!$N$14:$N$43 = $F261),
     --(IFERROR(
           INDEX(
              '10. Capability Matrix'!$B$7:$K$36,
              MATCH('4. Capabilities Assessment'!$D$14:$D$43, '10. Capability Matrix'!$B$7:$B$36, 0),
              _xlfn.XMATCH(I$226,'10. Capability Matrix'!$C$6:$K$6, 0)+1
           ),
        "") = "X")
   )&gt;0,
   "X",""))</f>
        <v/>
      </c>
      <c r="J261" s="335" t="str" cm="1">
        <f t="array" ref="J261">IF(H261="", "", IF(
   SUMPRODUCT(
     --('4. Capabilities Assessment'!$N$14:$N$43 = $F261),
     --(IFERROR(
           INDEX(
              '10. Capability Matrix'!$B$7:$K$36,
              MATCH('4. Capabilities Assessment'!$D$14:$D$43, '10. Capability Matrix'!$B$7:$B$36, 0),
              _xlfn.XMATCH(J$226,'10. Capability Matrix'!$C$6:$K$6, 0)+1
           ),
        "") = "X")
   )&gt;0,
   "X",""))</f>
        <v/>
      </c>
      <c r="K261" s="335" t="str" cm="1">
        <f t="array" ref="K261">IF(I261="", "", IF(
   SUMPRODUCT(
     --('4. Capabilities Assessment'!$N$14:$N$43 = $F261),
     --(IFERROR(
           INDEX(
              '10. Capability Matrix'!$B$43:$K$73,
              MATCH('4. Capabilities Assessment'!$D$14:$D$43, '10. Capability Matrix'!$B$44:$B$73, 0),
              _xlfn.XMATCH(K$226,'10. Capability Matrix'!$C$43:$K$43, 0)+1
           ),
        "") = "X")
   )&gt;0,
   "X",""))</f>
        <v/>
      </c>
      <c r="L261" s="335" t="str" cm="1">
        <f t="array" ref="L261">IF(J261="", "", IF(
   SUMPRODUCT(
     --('4. Capabilities Assessment'!$N$14:$N$43 = $F261),
     --(IFERROR(
           INDEX(
              '10. Capability Matrix'!$B$43:$K$73,
              MATCH('4. Capabilities Assessment'!$D$14:$D$43, '10. Capability Matrix'!$B$44:$B$73, 0),
              _xlfn.XMATCH(L$226,'10. Capability Matrix'!$C$43:$K$43, 0)+1
           ),
        "") = "X")
   )&gt;0,
   "X",""))</f>
        <v/>
      </c>
      <c r="M261" s="335" t="str" cm="1">
        <f t="array" ref="M261">IF(K261="", "", IF(
   SUMPRODUCT(
     --('4. Capabilities Assessment'!$N$14:$N$43 = $F261),
     --(IFERROR(
           INDEX(
              '10. Capability Matrix'!$B$43:$K$73,
              MATCH('4. Capabilities Assessment'!$D$14:$D$43, '10. Capability Matrix'!$B$44:$B$73, 0),
              _xlfn.XMATCH(M$226,'10. Capability Matrix'!$C$43:$K$43, 0)+1
           ),
        "") = "X")
   )&gt;0,
   "X",""))</f>
        <v/>
      </c>
      <c r="N261" t="str" cm="1">
        <f t="array" ref="N261">IF(L261="", "", IF(
   SUMPRODUCT(
     --('4. Capabilities Assessment'!$N$14:$N$43 = $F261),
     --(IFERROR(
           INDEX(
              '10. Capability Matrix'!$B$43:$K$73,
              MATCH('4. Capabilities Assessment'!$D$14:$D$43, '10. Capability Matrix'!$B$44:$B$73, 0),
              _xlfn.XMATCH(N$226,'10. Capability Matrix'!$C$43:$K$43, 0)+1
           ),
        "") = "X")
   )&gt;0,
   "X",""))</f>
        <v/>
      </c>
    </row>
    <row r="262" spans="5:14" x14ac:dyDescent="0.2">
      <c r="E262" s="363">
        <v>36</v>
      </c>
      <c r="F262" s="332" t="str">
        <f>IF('5. Initiative List'!C41="", "", '5. Initiative List'!C41)</f>
        <v/>
      </c>
      <c r="G262" s="332" t="str" cm="1">
        <f t="array" ref="G262">IF(F262="", "", _xlfn.TEXTJOIN(", ", TRUE,
   IF('4. Capabilities Assessment'!$N$2:$N$43=$F262,
      '4. Capabilities Assessment'!$D$2:$D$43, "")))</f>
        <v/>
      </c>
      <c r="H262" s="333" t="str" cm="1">
        <f t="array" ref="H262">IF(F262="", "", IF(
   SUMPRODUCT(
     --('4. Capabilities Assessment'!$N$14:$N$43 = $F262),
     --(IFERROR(
           INDEX(
              '10. Capability Matrix'!$B$7:$K$36,
              MATCH('4. Capabilities Assessment'!$D$14:$D$43, '10. Capability Matrix'!$B$7:$B$36, 0),
              _xlfn.XMATCH(H$226,'10. Capability Matrix'!$C$6:$K$6, 0)+1
           ),
        "") = "X")
   )&gt;0,
   "X",""))</f>
        <v/>
      </c>
      <c r="I262" s="333" t="str" cm="1">
        <f t="array" ref="I262">IF(G262="", "", IF(
   SUMPRODUCT(
     --('4. Capabilities Assessment'!$N$14:$N$43 = $F262),
     --(IFERROR(
           INDEX(
              '10. Capability Matrix'!$B$7:$K$36,
              MATCH('4. Capabilities Assessment'!$D$14:$D$43, '10. Capability Matrix'!$B$7:$B$36, 0),
              _xlfn.XMATCH(I$226,'10. Capability Matrix'!$C$6:$K$6, 0)+1
           ),
        "") = "X")
   )&gt;0,
   "X",""))</f>
        <v/>
      </c>
      <c r="J262" s="333" t="str" cm="1">
        <f t="array" ref="J262">IF(H262="", "", IF(
   SUMPRODUCT(
     --('4. Capabilities Assessment'!$N$14:$N$43 = $F262),
     --(IFERROR(
           INDEX(
              '10. Capability Matrix'!$B$7:$K$36,
              MATCH('4. Capabilities Assessment'!$D$14:$D$43, '10. Capability Matrix'!$B$7:$B$36, 0),
              _xlfn.XMATCH(J$226,'10. Capability Matrix'!$C$6:$K$6, 0)+1
           ),
        "") = "X")
   )&gt;0,
   "X",""))</f>
        <v/>
      </c>
      <c r="K262" s="333" t="str" cm="1">
        <f t="array" ref="K262">IF(I262="", "", IF(
   SUMPRODUCT(
     --('4. Capabilities Assessment'!$N$14:$N$43 = $F262),
     --(IFERROR(
           INDEX(
              '10. Capability Matrix'!$B$43:$K$73,
              MATCH('4. Capabilities Assessment'!$D$14:$D$43, '10. Capability Matrix'!$B$44:$B$73, 0),
              _xlfn.XMATCH(K$226,'10. Capability Matrix'!$C$43:$K$43, 0)+1
           ),
        "") = "X")
   )&gt;0,
   "X",""))</f>
        <v/>
      </c>
      <c r="L262" s="333" t="str" cm="1">
        <f t="array" ref="L262">IF(J262="", "", IF(
   SUMPRODUCT(
     --('4. Capabilities Assessment'!$N$14:$N$43 = $F262),
     --(IFERROR(
           INDEX(
              '10. Capability Matrix'!$B$43:$K$73,
              MATCH('4. Capabilities Assessment'!$D$14:$D$43, '10. Capability Matrix'!$B$44:$B$73, 0),
              _xlfn.XMATCH(L$226,'10. Capability Matrix'!$C$43:$K$43, 0)+1
           ),
        "") = "X")
   )&gt;0,
   "X",""))</f>
        <v/>
      </c>
      <c r="M262" s="333" t="str" cm="1">
        <f t="array" ref="M262">IF(K262="", "", IF(
   SUMPRODUCT(
     --('4. Capabilities Assessment'!$N$14:$N$43 = $F262),
     --(IFERROR(
           INDEX(
              '10. Capability Matrix'!$B$43:$K$73,
              MATCH('4. Capabilities Assessment'!$D$14:$D$43, '10. Capability Matrix'!$B$44:$B$73, 0),
              _xlfn.XMATCH(M$226,'10. Capability Matrix'!$C$43:$K$43, 0)+1
           ),
        "") = "X")
   )&gt;0,
   "X",""))</f>
        <v/>
      </c>
      <c r="N262" t="str" cm="1">
        <f t="array" ref="N262">IF(L262="", "", IF(
   SUMPRODUCT(
     --('4. Capabilities Assessment'!$N$14:$N$43 = $F262),
     --(IFERROR(
           INDEX(
              '10. Capability Matrix'!$B$43:$K$73,
              MATCH('4. Capabilities Assessment'!$D$14:$D$43, '10. Capability Matrix'!$B$44:$B$73, 0),
              _xlfn.XMATCH(N$226,'10. Capability Matrix'!$C$43:$K$43, 0)+1
           ),
        "") = "X")
   )&gt;0,
   "X",""))</f>
        <v/>
      </c>
    </row>
    <row r="263" spans="5:14" x14ac:dyDescent="0.2">
      <c r="E263" s="364">
        <v>37</v>
      </c>
      <c r="F263" s="334" t="str">
        <f>IF('5. Initiative List'!C42="", "", '5. Initiative List'!C42)</f>
        <v/>
      </c>
      <c r="G263" s="334" t="str" cm="1">
        <f t="array" ref="G263">IF(F263="", "", _xlfn.TEXTJOIN(", ", TRUE,
   IF('4. Capabilities Assessment'!$N$2:$N$43=$F263,
      '4. Capabilities Assessment'!$D$2:$D$43, "")))</f>
        <v/>
      </c>
      <c r="H263" s="335" t="str" cm="1">
        <f t="array" ref="H263">IF(F263="", "", IF(
   SUMPRODUCT(
     --('4. Capabilities Assessment'!$N$14:$N$43 = $F263),
     --(IFERROR(
           INDEX(
              '10. Capability Matrix'!$B$7:$K$36,
              MATCH('4. Capabilities Assessment'!$D$14:$D$43, '10. Capability Matrix'!$B$7:$B$36, 0),
              _xlfn.XMATCH(H$226,'10. Capability Matrix'!$C$6:$K$6, 0)+1
           ),
        "") = "X")
   )&gt;0,
   "X",""))</f>
        <v/>
      </c>
      <c r="I263" s="335" t="str" cm="1">
        <f t="array" ref="I263">IF(G263="", "", IF(
   SUMPRODUCT(
     --('4. Capabilities Assessment'!$N$14:$N$43 = $F263),
     --(IFERROR(
           INDEX(
              '10. Capability Matrix'!$B$7:$K$36,
              MATCH('4. Capabilities Assessment'!$D$14:$D$43, '10. Capability Matrix'!$B$7:$B$36, 0),
              _xlfn.XMATCH(I$226,'10. Capability Matrix'!$C$6:$K$6, 0)+1
           ),
        "") = "X")
   )&gt;0,
   "X",""))</f>
        <v/>
      </c>
      <c r="J263" s="335" t="str" cm="1">
        <f t="array" ref="J263">IF(H263="", "", IF(
   SUMPRODUCT(
     --('4. Capabilities Assessment'!$N$14:$N$43 = $F263),
     --(IFERROR(
           INDEX(
              '10. Capability Matrix'!$B$7:$K$36,
              MATCH('4. Capabilities Assessment'!$D$14:$D$43, '10. Capability Matrix'!$B$7:$B$36, 0),
              _xlfn.XMATCH(J$226,'10. Capability Matrix'!$C$6:$K$6, 0)+1
           ),
        "") = "X")
   )&gt;0,
   "X",""))</f>
        <v/>
      </c>
      <c r="K263" s="335" t="str" cm="1">
        <f t="array" ref="K263">IF(I263="", "", IF(
   SUMPRODUCT(
     --('4. Capabilities Assessment'!$N$14:$N$43 = $F263),
     --(IFERROR(
           INDEX(
              '10. Capability Matrix'!$B$43:$K$73,
              MATCH('4. Capabilities Assessment'!$D$14:$D$43, '10. Capability Matrix'!$B$44:$B$73, 0),
              _xlfn.XMATCH(K$226,'10. Capability Matrix'!$C$43:$K$43, 0)+1
           ),
        "") = "X")
   )&gt;0,
   "X",""))</f>
        <v/>
      </c>
      <c r="L263" s="335" t="str" cm="1">
        <f t="array" ref="L263">IF(J263="", "", IF(
   SUMPRODUCT(
     --('4. Capabilities Assessment'!$N$14:$N$43 = $F263),
     --(IFERROR(
           INDEX(
              '10. Capability Matrix'!$B$43:$K$73,
              MATCH('4. Capabilities Assessment'!$D$14:$D$43, '10. Capability Matrix'!$B$44:$B$73, 0),
              _xlfn.XMATCH(L$226,'10. Capability Matrix'!$C$43:$K$43, 0)+1
           ),
        "") = "X")
   )&gt;0,
   "X",""))</f>
        <v/>
      </c>
      <c r="M263" s="335" t="str" cm="1">
        <f t="array" ref="M263">IF(K263="", "", IF(
   SUMPRODUCT(
     --('4. Capabilities Assessment'!$N$14:$N$43 = $F263),
     --(IFERROR(
           INDEX(
              '10. Capability Matrix'!$B$43:$K$73,
              MATCH('4. Capabilities Assessment'!$D$14:$D$43, '10. Capability Matrix'!$B$44:$B$73, 0),
              _xlfn.XMATCH(M$226,'10. Capability Matrix'!$C$43:$K$43, 0)+1
           ),
        "") = "X")
   )&gt;0,
   "X",""))</f>
        <v/>
      </c>
      <c r="N263" t="str" cm="1">
        <f t="array" ref="N263">IF(L263="", "", IF(
   SUMPRODUCT(
     --('4. Capabilities Assessment'!$N$14:$N$43 = $F263),
     --(IFERROR(
           INDEX(
              '10. Capability Matrix'!$B$43:$K$73,
              MATCH('4. Capabilities Assessment'!$D$14:$D$43, '10. Capability Matrix'!$B$44:$B$73, 0),
              _xlfn.XMATCH(N$226,'10. Capability Matrix'!$C$43:$K$43, 0)+1
           ),
        "") = "X")
   )&gt;0,
   "X",""))</f>
        <v/>
      </c>
    </row>
    <row r="264" spans="5:14" x14ac:dyDescent="0.2">
      <c r="E264" s="363">
        <v>38</v>
      </c>
      <c r="F264" s="332" t="str">
        <f>IF('5. Initiative List'!C43="", "", '5. Initiative List'!C43)</f>
        <v/>
      </c>
      <c r="G264" s="332" t="str" cm="1">
        <f t="array" ref="G264">IF(F264="", "", _xlfn.TEXTJOIN(", ", TRUE,
   IF('4. Capabilities Assessment'!$N$2:$N$43=$F264,
      '4. Capabilities Assessment'!$D$2:$D$43, "")))</f>
        <v/>
      </c>
      <c r="H264" s="333" t="str" cm="1">
        <f t="array" ref="H264">IF(F264="", "", IF(
   SUMPRODUCT(
     --('4. Capabilities Assessment'!$N$14:$N$43 = $F264),
     --(IFERROR(
           INDEX(
              '10. Capability Matrix'!$B$7:$K$36,
              MATCH('4. Capabilities Assessment'!$D$14:$D$43, '10. Capability Matrix'!$B$7:$B$36, 0),
              _xlfn.XMATCH(H$226,'10. Capability Matrix'!$C$6:$K$6, 0)+1
           ),
        "") = "X")
   )&gt;0,
   "X",""))</f>
        <v/>
      </c>
      <c r="I264" s="333" t="str" cm="1">
        <f t="array" ref="I264">IF(G264="", "", IF(
   SUMPRODUCT(
     --('4. Capabilities Assessment'!$N$14:$N$43 = $F264),
     --(IFERROR(
           INDEX(
              '10. Capability Matrix'!$B$7:$K$36,
              MATCH('4. Capabilities Assessment'!$D$14:$D$43, '10. Capability Matrix'!$B$7:$B$36, 0),
              _xlfn.XMATCH(I$226,'10. Capability Matrix'!$C$6:$K$6, 0)+1
           ),
        "") = "X")
   )&gt;0,
   "X",""))</f>
        <v/>
      </c>
      <c r="J264" s="333" t="str" cm="1">
        <f t="array" ref="J264">IF(H264="", "", IF(
   SUMPRODUCT(
     --('4. Capabilities Assessment'!$N$14:$N$43 = $F264),
     --(IFERROR(
           INDEX(
              '10. Capability Matrix'!$B$7:$K$36,
              MATCH('4. Capabilities Assessment'!$D$14:$D$43, '10. Capability Matrix'!$B$7:$B$36, 0),
              _xlfn.XMATCH(J$226,'10. Capability Matrix'!$C$6:$K$6, 0)+1
           ),
        "") = "X")
   )&gt;0,
   "X",""))</f>
        <v/>
      </c>
      <c r="K264" s="333" t="str" cm="1">
        <f t="array" ref="K264">IF(I264="", "", IF(
   SUMPRODUCT(
     --('4. Capabilities Assessment'!$N$14:$N$43 = $F264),
     --(IFERROR(
           INDEX(
              '10. Capability Matrix'!$B$43:$K$73,
              MATCH('4. Capabilities Assessment'!$D$14:$D$43, '10. Capability Matrix'!$B$44:$B$73, 0),
              _xlfn.XMATCH(K$226,'10. Capability Matrix'!$C$43:$K$43, 0)+1
           ),
        "") = "X")
   )&gt;0,
   "X",""))</f>
        <v/>
      </c>
      <c r="L264" s="333" t="str" cm="1">
        <f t="array" ref="L264">IF(J264="", "", IF(
   SUMPRODUCT(
     --('4. Capabilities Assessment'!$N$14:$N$43 = $F264),
     --(IFERROR(
           INDEX(
              '10. Capability Matrix'!$B$43:$K$73,
              MATCH('4. Capabilities Assessment'!$D$14:$D$43, '10. Capability Matrix'!$B$44:$B$73, 0),
              _xlfn.XMATCH(L$226,'10. Capability Matrix'!$C$43:$K$43, 0)+1
           ),
        "") = "X")
   )&gt;0,
   "X",""))</f>
        <v/>
      </c>
      <c r="M264" s="333" t="str" cm="1">
        <f t="array" ref="M264">IF(K264="", "", IF(
   SUMPRODUCT(
     --('4. Capabilities Assessment'!$N$14:$N$43 = $F264),
     --(IFERROR(
           INDEX(
              '10. Capability Matrix'!$B$43:$K$73,
              MATCH('4. Capabilities Assessment'!$D$14:$D$43, '10. Capability Matrix'!$B$44:$B$73, 0),
              _xlfn.XMATCH(M$226,'10. Capability Matrix'!$C$43:$K$43, 0)+1
           ),
        "") = "X")
   )&gt;0,
   "X",""))</f>
        <v/>
      </c>
      <c r="N264" t="str" cm="1">
        <f t="array" ref="N264">IF(L264="", "", IF(
   SUMPRODUCT(
     --('4. Capabilities Assessment'!$N$14:$N$43 = $F264),
     --(IFERROR(
           INDEX(
              '10. Capability Matrix'!$B$43:$K$73,
              MATCH('4. Capabilities Assessment'!$D$14:$D$43, '10. Capability Matrix'!$B$44:$B$73, 0),
              _xlfn.XMATCH(N$226,'10. Capability Matrix'!$C$43:$K$43, 0)+1
           ),
        "") = "X")
   )&gt;0,
   "X",""))</f>
        <v/>
      </c>
    </row>
    <row r="265" spans="5:14" x14ac:dyDescent="0.2">
      <c r="E265" s="364">
        <v>39</v>
      </c>
      <c r="F265" s="334" t="str">
        <f>IF('5. Initiative List'!C44="", "", '5. Initiative List'!C44)</f>
        <v/>
      </c>
      <c r="G265" s="334" t="str" cm="1">
        <f t="array" ref="G265">IF(F265="", "", _xlfn.TEXTJOIN(", ", TRUE,
   IF('4. Capabilities Assessment'!$N$2:$N$43=$F265,
      '4. Capabilities Assessment'!$D$2:$D$43, "")))</f>
        <v/>
      </c>
      <c r="H265" s="335" t="str" cm="1">
        <f t="array" ref="H265">IF(F265="", "", IF(
   SUMPRODUCT(
     --('4. Capabilities Assessment'!$N$14:$N$43 = $F265),
     --(IFERROR(
           INDEX(
              '10. Capability Matrix'!$B$7:$K$36,
              MATCH('4. Capabilities Assessment'!$D$14:$D$43, '10. Capability Matrix'!$B$7:$B$36, 0),
              _xlfn.XMATCH(H$226,'10. Capability Matrix'!$C$6:$K$6, 0)+1
           ),
        "") = "X")
   )&gt;0,
   "X",""))</f>
        <v/>
      </c>
      <c r="I265" s="335" t="str" cm="1">
        <f t="array" ref="I265">IF(G265="", "", IF(
   SUMPRODUCT(
     --('4. Capabilities Assessment'!$N$14:$N$43 = $F265),
     --(IFERROR(
           INDEX(
              '10. Capability Matrix'!$B$7:$K$36,
              MATCH('4. Capabilities Assessment'!$D$14:$D$43, '10. Capability Matrix'!$B$7:$B$36, 0),
              _xlfn.XMATCH(I$226,'10. Capability Matrix'!$C$6:$K$6, 0)+1
           ),
        "") = "X")
   )&gt;0,
   "X",""))</f>
        <v/>
      </c>
      <c r="J265" s="335" t="str" cm="1">
        <f t="array" ref="J265">IF(H265="", "", IF(
   SUMPRODUCT(
     --('4. Capabilities Assessment'!$N$14:$N$43 = $F265),
     --(IFERROR(
           INDEX(
              '10. Capability Matrix'!$B$7:$K$36,
              MATCH('4. Capabilities Assessment'!$D$14:$D$43, '10. Capability Matrix'!$B$7:$B$36, 0),
              _xlfn.XMATCH(J$226,'10. Capability Matrix'!$C$6:$K$6, 0)+1
           ),
        "") = "X")
   )&gt;0,
   "X",""))</f>
        <v/>
      </c>
      <c r="K265" s="335" t="str" cm="1">
        <f t="array" ref="K265">IF(I265="", "", IF(
   SUMPRODUCT(
     --('4. Capabilities Assessment'!$N$14:$N$43 = $F265),
     --(IFERROR(
           INDEX(
              '10. Capability Matrix'!$B$43:$K$73,
              MATCH('4. Capabilities Assessment'!$D$14:$D$43, '10. Capability Matrix'!$B$44:$B$73, 0),
              _xlfn.XMATCH(K$226,'10. Capability Matrix'!$C$43:$K$43, 0)+1
           ),
        "") = "X")
   )&gt;0,
   "X",""))</f>
        <v/>
      </c>
      <c r="L265" s="335" t="str" cm="1">
        <f t="array" ref="L265">IF(J265="", "", IF(
   SUMPRODUCT(
     --('4. Capabilities Assessment'!$N$14:$N$43 = $F265),
     --(IFERROR(
           INDEX(
              '10. Capability Matrix'!$B$43:$K$73,
              MATCH('4. Capabilities Assessment'!$D$14:$D$43, '10. Capability Matrix'!$B$44:$B$73, 0),
              _xlfn.XMATCH(L$226,'10. Capability Matrix'!$C$43:$K$43, 0)+1
           ),
        "") = "X")
   )&gt;0,
   "X",""))</f>
        <v/>
      </c>
      <c r="M265" s="335" t="str" cm="1">
        <f t="array" ref="M265">IF(K265="", "", IF(
   SUMPRODUCT(
     --('4. Capabilities Assessment'!$N$14:$N$43 = $F265),
     --(IFERROR(
           INDEX(
              '10. Capability Matrix'!$B$43:$K$73,
              MATCH('4. Capabilities Assessment'!$D$14:$D$43, '10. Capability Matrix'!$B$44:$B$73, 0),
              _xlfn.XMATCH(M$226,'10. Capability Matrix'!$C$43:$K$43, 0)+1
           ),
        "") = "X")
   )&gt;0,
   "X",""))</f>
        <v/>
      </c>
      <c r="N265" t="str" cm="1">
        <f t="array" ref="N265">IF(L265="", "", IF(
   SUMPRODUCT(
     --('4. Capabilities Assessment'!$N$14:$N$43 = $F265),
     --(IFERROR(
           INDEX(
              '10. Capability Matrix'!$B$43:$K$73,
              MATCH('4. Capabilities Assessment'!$D$14:$D$43, '10. Capability Matrix'!$B$44:$B$73, 0),
              _xlfn.XMATCH(N$226,'10. Capability Matrix'!$C$43:$K$43, 0)+1
           ),
        "") = "X")
   )&gt;0,
   "X",""))</f>
        <v/>
      </c>
    </row>
    <row r="266" spans="5:14" x14ac:dyDescent="0.2">
      <c r="E266" s="363">
        <v>40</v>
      </c>
      <c r="F266" s="332" t="str">
        <f>IF('5. Initiative List'!C45="", "", '5. Initiative List'!C45)</f>
        <v/>
      </c>
      <c r="G266" s="332" t="str" cm="1">
        <f t="array" ref="G266">IF(F266="", "", _xlfn.TEXTJOIN(", ", TRUE,
   IF('4. Capabilities Assessment'!$N$2:$N$43=$F266,
      '4. Capabilities Assessment'!$D$2:$D$43, "")))</f>
        <v/>
      </c>
      <c r="H266" s="333" t="str" cm="1">
        <f t="array" ref="H266">IF(F266="", "", IF(
   SUMPRODUCT(
     --('4. Capabilities Assessment'!$N$14:$N$43 = $F266),
     --(IFERROR(
           INDEX(
              '10. Capability Matrix'!$B$7:$K$36,
              MATCH('4. Capabilities Assessment'!$D$14:$D$43, '10. Capability Matrix'!$B$7:$B$36, 0),
              _xlfn.XMATCH(H$226,'10. Capability Matrix'!$C$6:$K$6, 0)+1
           ),
        "") = "X")
   )&gt;0,
   "X",""))</f>
        <v/>
      </c>
      <c r="I266" s="333" t="str" cm="1">
        <f t="array" ref="I266">IF(G266="", "", IF(
   SUMPRODUCT(
     --('4. Capabilities Assessment'!$N$14:$N$43 = $F266),
     --(IFERROR(
           INDEX(
              '10. Capability Matrix'!$B$7:$K$36,
              MATCH('4. Capabilities Assessment'!$D$14:$D$43, '10. Capability Matrix'!$B$7:$B$36, 0),
              _xlfn.XMATCH(I$226,'10. Capability Matrix'!$C$6:$K$6, 0)+1
           ),
        "") = "X")
   )&gt;0,
   "X",""))</f>
        <v/>
      </c>
      <c r="J266" s="333" t="str" cm="1">
        <f t="array" ref="J266">IF(H266="", "", IF(
   SUMPRODUCT(
     --('4. Capabilities Assessment'!$N$14:$N$43 = $F266),
     --(IFERROR(
           INDEX(
              '10. Capability Matrix'!$B$7:$K$36,
              MATCH('4. Capabilities Assessment'!$D$14:$D$43, '10. Capability Matrix'!$B$7:$B$36, 0),
              _xlfn.XMATCH(J$226,'10. Capability Matrix'!$C$6:$K$6, 0)+1
           ),
        "") = "X")
   )&gt;0,
   "X",""))</f>
        <v/>
      </c>
      <c r="K266" s="333" t="str" cm="1">
        <f t="array" ref="K266">IF(I266="", "", IF(
   SUMPRODUCT(
     --('4. Capabilities Assessment'!$N$14:$N$43 = $F266),
     --(IFERROR(
           INDEX(
              '10. Capability Matrix'!$B$43:$K$73,
              MATCH('4. Capabilities Assessment'!$D$14:$D$43, '10. Capability Matrix'!$B$44:$B$73, 0),
              _xlfn.XMATCH(K$226,'10. Capability Matrix'!$C$43:$K$43, 0)+1
           ),
        "") = "X")
   )&gt;0,
   "X",""))</f>
        <v/>
      </c>
      <c r="L266" s="333" t="str" cm="1">
        <f t="array" ref="L266">IF(J266="", "", IF(
   SUMPRODUCT(
     --('4. Capabilities Assessment'!$N$14:$N$43 = $F266),
     --(IFERROR(
           INDEX(
              '10. Capability Matrix'!$B$43:$K$73,
              MATCH('4. Capabilities Assessment'!$D$14:$D$43, '10. Capability Matrix'!$B$44:$B$73, 0),
              _xlfn.XMATCH(L$226,'10. Capability Matrix'!$C$43:$K$43, 0)+1
           ),
        "") = "X")
   )&gt;0,
   "X",""))</f>
        <v/>
      </c>
      <c r="M266" s="333" t="str" cm="1">
        <f t="array" ref="M266">IF(K266="", "", IF(
   SUMPRODUCT(
     --('4. Capabilities Assessment'!$N$14:$N$43 = $F266),
     --(IFERROR(
           INDEX(
              '10. Capability Matrix'!$B$43:$K$73,
              MATCH('4. Capabilities Assessment'!$D$14:$D$43, '10. Capability Matrix'!$B$44:$B$73, 0),
              _xlfn.XMATCH(M$226,'10. Capability Matrix'!$C$43:$K$43, 0)+1
           ),
        "") = "X")
   )&gt;0,
   "X",""))</f>
        <v/>
      </c>
      <c r="N266" t="str" cm="1">
        <f t="array" ref="N266">IF(L266="", "", IF(
   SUMPRODUCT(
     --('4. Capabilities Assessment'!$N$14:$N$43 = $F266),
     --(IFERROR(
           INDEX(
              '10. Capability Matrix'!$B$43:$K$73,
              MATCH('4. Capabilities Assessment'!$D$14:$D$43, '10. Capability Matrix'!$B$44:$B$73, 0),
              _xlfn.XMATCH(N$226,'10. Capability Matrix'!$C$43:$K$43, 0)+1
           ),
        "") = "X")
   )&gt;0,
   "X",""))</f>
        <v/>
      </c>
    </row>
  </sheetData>
  <mergeCells count="10">
    <mergeCell ref="I13:I14"/>
    <mergeCell ref="V134:W134"/>
    <mergeCell ref="B123:U123"/>
    <mergeCell ref="B55:D55"/>
    <mergeCell ref="B89:F89"/>
    <mergeCell ref="K92:K98"/>
    <mergeCell ref="K99:K104"/>
    <mergeCell ref="K105:K109"/>
    <mergeCell ref="K110:K115"/>
    <mergeCell ref="K116:K121"/>
  </mergeCells>
  <pageMargins left="0.7" right="0.7" top="0.75" bottom="0.75" header="0.3" footer="0.3"/>
  <pageSetup orientation="portrait" horizontalDpi="300" verticalDpi="30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3CC4A-0285-4329-B9D6-9D02E9481707}">
  <sheetPr>
    <tabColor rgb="FFFFC000"/>
  </sheetPr>
  <dimension ref="A2:M73"/>
  <sheetViews>
    <sheetView topLeftCell="D1" zoomScale="90" zoomScaleNormal="90" workbookViewId="0">
      <selection activeCell="L7" sqref="L7"/>
    </sheetView>
  </sheetViews>
  <sheetFormatPr defaultRowHeight="14.25" x14ac:dyDescent="0.2"/>
  <cols>
    <col min="1" max="1" width="24.25" customWidth="1"/>
    <col min="2" max="2" width="46" customWidth="1"/>
    <col min="3" max="12" width="25.625" customWidth="1"/>
    <col min="13" max="13" width="24.75" customWidth="1"/>
  </cols>
  <sheetData>
    <row r="2" spans="1:13" ht="30" customHeight="1" x14ac:dyDescent="0.2">
      <c r="A2" s="246" t="s">
        <v>626</v>
      </c>
      <c r="B2" s="42"/>
      <c r="C2" s="42"/>
      <c r="D2" s="42"/>
      <c r="E2" s="42"/>
      <c r="F2" s="42"/>
      <c r="G2" s="42"/>
    </row>
    <row r="4" spans="1:13" ht="49.5" customHeight="1" x14ac:dyDescent="0.2">
      <c r="A4" s="630" t="s">
        <v>627</v>
      </c>
      <c r="B4" s="630"/>
      <c r="C4" s="630"/>
      <c r="D4" s="630"/>
      <c r="E4" s="630"/>
      <c r="F4" s="630"/>
      <c r="G4" s="630"/>
    </row>
    <row r="6" spans="1:13" s="12" customFormat="1" ht="45.75" thickBot="1" x14ac:dyDescent="0.3">
      <c r="A6" s="322" t="s">
        <v>81</v>
      </c>
      <c r="B6" s="323" t="s">
        <v>628</v>
      </c>
      <c r="C6" s="323" t="str">
        <f>IF('9. List &amp; Calc'!$C15="", "", '9. List &amp; Calc'!$C15)</f>
        <v>Monetize data and services through premium APIs.</v>
      </c>
      <c r="D6" s="323" t="str">
        <f>IF('9. List &amp; Calc'!$C16="", "", '9. List &amp; Calc'!$C16)</f>
        <v>Faster time to value for new products.</v>
      </c>
      <c r="E6" s="323" t="str">
        <f>IF('9. List &amp; Calc'!$C17="", "", '9. List &amp; Calc'!$C17)</f>
        <v>Reduce compliance costs and enter new regulated markets faster.</v>
      </c>
      <c r="F6" s="323" t="str">
        <f>IF('9. List &amp; Calc'!$C18="", "", '9. List &amp; Calc'!$C18)</f>
        <v>Reduce cyber‑insurance premiums and borrowing costs.</v>
      </c>
      <c r="G6" s="323" t="str">
        <f>IF('9. List &amp; Calc'!$C19="", "", '9. List &amp; Calc'!$C19)</f>
        <v>Accelerate AI &amp; advanced analytics initiatives.</v>
      </c>
      <c r="H6" s="323" t="str">
        <f>IF('9. List &amp; Calc'!$C20="", "", '9. List &amp; Calc'!$C20)</f>
        <v>Complete technology M&amp;A integrations faster.</v>
      </c>
      <c r="I6" s="323" t="str">
        <f>IF('9. List &amp; Calc'!$C21="", "", '9. List &amp; Calc'!$C21)</f>
        <v>Increase uptime for digital revenue channels.</v>
      </c>
      <c r="J6" s="323" t="str">
        <f>IF('9. List &amp; Calc'!$C22="", "", '9. List &amp; Calc'!$C22)</f>
        <v>Scale partner ecosystems without expanding the attack surface.</v>
      </c>
      <c r="K6" s="323" t="str">
        <f>IF('9. List &amp; Calc'!$C23="", "", '9. List &amp; Calc'!$C23)</f>
        <v>Strengthen brand loyalty and customer trust.</v>
      </c>
      <c r="L6" s="323" t="s">
        <v>615</v>
      </c>
      <c r="M6" s="16"/>
    </row>
    <row r="7" spans="1:13" ht="15.75" thickTop="1" x14ac:dyDescent="0.2">
      <c r="A7" s="310" t="str">
        <f>IF('4. Capabilities Assessment'!C14="", "", '4. Capabilities Assessment'!C14)</f>
        <v>AD.01</v>
      </c>
      <c r="B7" s="310" t="str">
        <f>IF('4. Capabilities Assessment'!D14="", "", '4. Capabilities Assessment'!D14)</f>
        <v>Security Requirements Definition</v>
      </c>
      <c r="C7" s="312" t="s">
        <v>629</v>
      </c>
      <c r="D7" s="312" t="s">
        <v>629</v>
      </c>
      <c r="E7" s="312" t="s">
        <v>629</v>
      </c>
      <c r="F7" s="312"/>
      <c r="G7" s="312"/>
      <c r="H7" s="312"/>
      <c r="I7" s="312"/>
      <c r="J7" s="312"/>
      <c r="K7" s="312" t="s">
        <v>629</v>
      </c>
      <c r="L7" s="312" cm="1">
        <f t="array" ref="L7">SUMPRODUCT((ISNUMBER(MATCH($C$6:$K$6,'3. Goals'!$C$9:$C$11,0)))*(C7:K7="X"))</f>
        <v>1</v>
      </c>
      <c r="M7" s="149"/>
    </row>
    <row r="8" spans="1:13" ht="15" x14ac:dyDescent="0.2">
      <c r="A8" s="313" t="str">
        <f>IF('4. Capabilities Assessment'!C15="", "", '4. Capabilities Assessment'!C15)</f>
        <v>AD.02</v>
      </c>
      <c r="B8" s="313" t="str">
        <f>IF('4. Capabilities Assessment'!D15="", "", '4. Capabilities Assessment'!D15)</f>
        <v>Threat Modeling</v>
      </c>
      <c r="C8" s="315" t="s">
        <v>629</v>
      </c>
      <c r="D8" s="315"/>
      <c r="E8" s="315" t="s">
        <v>629</v>
      </c>
      <c r="F8" s="315" t="s">
        <v>629</v>
      </c>
      <c r="G8" s="315" t="s">
        <v>629</v>
      </c>
      <c r="H8" s="315"/>
      <c r="I8" s="315"/>
      <c r="J8" s="315"/>
      <c r="K8" s="315"/>
      <c r="L8" s="315" cm="1">
        <f t="array" ref="L8">SUMPRODUCT((ISNUMBER(MATCH($C$6:$K$6,'3. Goals'!$C$9:$C$11,0)))*(C8:K8="X"))</f>
        <v>1</v>
      </c>
      <c r="M8" s="149"/>
    </row>
    <row r="9" spans="1:13" ht="15" x14ac:dyDescent="0.2">
      <c r="A9" s="316" t="str">
        <f>IF('4. Capabilities Assessment'!C16="", "", '4. Capabilities Assessment'!C16)</f>
        <v>AD.03</v>
      </c>
      <c r="B9" s="316" t="str">
        <f>IF('4. Capabilities Assessment'!D16="", "", '4. Capabilities Assessment'!D16)</f>
        <v>Secure Architecture Design</v>
      </c>
      <c r="C9" s="318"/>
      <c r="D9" s="318" t="s">
        <v>629</v>
      </c>
      <c r="E9" s="318"/>
      <c r="F9" s="318"/>
      <c r="G9" s="318"/>
      <c r="H9" s="318" t="s">
        <v>629</v>
      </c>
      <c r="I9" s="318" t="s">
        <v>629</v>
      </c>
      <c r="J9" s="318"/>
      <c r="K9" s="318"/>
      <c r="L9" s="318" cm="1">
        <f t="array" ref="L9">SUMPRODUCT((ISNUMBER(MATCH($C$6:$K$6,'3. Goals'!$C$9:$C$11,0)))*(C9:K9="X"))</f>
        <v>2</v>
      </c>
      <c r="M9" s="149"/>
    </row>
    <row r="10" spans="1:13" ht="15" x14ac:dyDescent="0.2">
      <c r="A10" s="313" t="str">
        <f>IF('4. Capabilities Assessment'!C17="", "", '4. Capabilities Assessment'!C17)</f>
        <v>AD.04</v>
      </c>
      <c r="B10" s="313" t="str">
        <f>IF('4. Capabilities Assessment'!D17="", "", '4. Capabilities Assessment'!D17)</f>
        <v>Zero Trust Architecture</v>
      </c>
      <c r="C10" s="315" t="s">
        <v>629</v>
      </c>
      <c r="D10" s="315"/>
      <c r="E10" s="315"/>
      <c r="F10" s="315"/>
      <c r="G10" s="315" t="s">
        <v>629</v>
      </c>
      <c r="H10" s="315"/>
      <c r="I10" s="315"/>
      <c r="J10" s="315" t="s">
        <v>629</v>
      </c>
      <c r="K10" s="315" t="s">
        <v>629</v>
      </c>
      <c r="L10" s="315" cm="1">
        <f t="array" ref="L10">SUMPRODUCT((ISNUMBER(MATCH($C$6:$K$6,'3. Goals'!$C$9:$C$11,0)))*(C10:K10="X"))</f>
        <v>0</v>
      </c>
      <c r="M10" s="149"/>
    </row>
    <row r="11" spans="1:13" ht="15" x14ac:dyDescent="0.2">
      <c r="A11" s="316" t="str">
        <f>IF('4. Capabilities Assessment'!C18="", "", '4. Capabilities Assessment'!C18)</f>
        <v>AD.05</v>
      </c>
      <c r="B11" s="316" t="str">
        <f>IF('4. Capabilities Assessment'!D18="", "", '4. Capabilities Assessment'!D18)</f>
        <v>Secure AI/ML Design</v>
      </c>
      <c r="C11" s="318"/>
      <c r="D11" s="318" t="s">
        <v>629</v>
      </c>
      <c r="E11" s="318" t="s">
        <v>629</v>
      </c>
      <c r="F11" s="318"/>
      <c r="G11" s="318" t="s">
        <v>629</v>
      </c>
      <c r="H11" s="318"/>
      <c r="I11" s="318"/>
      <c r="J11" s="318"/>
      <c r="K11" s="318" t="s">
        <v>629</v>
      </c>
      <c r="L11" s="318" cm="1">
        <f t="array" ref="L11">SUMPRODUCT((ISNUMBER(MATCH($C$6:$K$6,'3. Goals'!$C$9:$C$11,0)))*(C11:K11="X"))</f>
        <v>1</v>
      </c>
      <c r="M11" s="149"/>
    </row>
    <row r="12" spans="1:13" ht="15" x14ac:dyDescent="0.2">
      <c r="A12" s="313" t="str">
        <f>IF('4. Capabilities Assessment'!C19="", "", '4. Capabilities Assessment'!C19)</f>
        <v>AD.06</v>
      </c>
      <c r="B12" s="313" t="str">
        <f>IF('4. Capabilities Assessment'!D19="", "", '4. Capabilities Assessment'!D19)</f>
        <v>AI/ML Training Data Collection Security</v>
      </c>
      <c r="C12" s="315"/>
      <c r="D12" s="315"/>
      <c r="E12" s="315"/>
      <c r="F12" s="315"/>
      <c r="G12" s="315" t="s">
        <v>629</v>
      </c>
      <c r="H12" s="315"/>
      <c r="I12" s="315"/>
      <c r="J12" s="315"/>
      <c r="K12" s="315" t="s">
        <v>629</v>
      </c>
      <c r="L12" s="315" cm="1">
        <f t="array" ref="L12">SUMPRODUCT((ISNUMBER(MATCH($C$6:$K$6,'3. Goals'!$C$9:$C$11,0)))*(C12:K12="X"))</f>
        <v>0</v>
      </c>
      <c r="M12" s="149"/>
    </row>
    <row r="13" spans="1:13" ht="15" x14ac:dyDescent="0.2">
      <c r="A13" s="316" t="str">
        <f>IF('4. Capabilities Assessment'!C20="", "", '4. Capabilities Assessment'!C20)</f>
        <v>AD.07</v>
      </c>
      <c r="B13" s="316" t="str">
        <f>IF('4. Capabilities Assessment'!D20="", "", '4. Capabilities Assessment'!D20)</f>
        <v>Secure Design Review &amp; Assurance</v>
      </c>
      <c r="C13" s="318" t="s">
        <v>629</v>
      </c>
      <c r="D13" s="318"/>
      <c r="E13" s="318" t="s">
        <v>629</v>
      </c>
      <c r="F13" s="318" t="s">
        <v>629</v>
      </c>
      <c r="G13" s="318"/>
      <c r="H13" s="318"/>
      <c r="I13" s="318" t="s">
        <v>629</v>
      </c>
      <c r="J13" s="318"/>
      <c r="K13" s="318"/>
      <c r="L13" s="318" cm="1">
        <f t="array" ref="L13">SUMPRODUCT((ISNUMBER(MATCH($C$6:$K$6,'3. Goals'!$C$9:$C$11,0)))*(C13:K13="X"))</f>
        <v>1</v>
      </c>
      <c r="M13" s="149"/>
    </row>
    <row r="14" spans="1:13" ht="15" x14ac:dyDescent="0.2">
      <c r="A14" s="313" t="str">
        <f>IF('4. Capabilities Assessment'!C21="", "", '4. Capabilities Assessment'!C21)</f>
        <v>BU.01</v>
      </c>
      <c r="B14" s="313" t="str">
        <f>IF('4. Capabilities Assessment'!D21="", "", '4. Capabilities Assessment'!D21)</f>
        <v>Secure Coding Practices &amp; Training</v>
      </c>
      <c r="C14" s="315"/>
      <c r="D14" s="315"/>
      <c r="E14" s="315"/>
      <c r="F14" s="315" t="s">
        <v>629</v>
      </c>
      <c r="G14" s="315"/>
      <c r="H14" s="315" t="s">
        <v>629</v>
      </c>
      <c r="I14" s="315"/>
      <c r="J14" s="315"/>
      <c r="K14" s="315"/>
      <c r="L14" s="315" cm="1">
        <f t="array" ref="L14">SUMPRODUCT((ISNUMBER(MATCH($C$6:$K$6,'3. Goals'!$C$9:$C$11,0)))*(C14:K14="X"))</f>
        <v>2</v>
      </c>
      <c r="M14" s="149"/>
    </row>
    <row r="15" spans="1:13" ht="15" x14ac:dyDescent="0.2">
      <c r="A15" s="316" t="str">
        <f>IF('4. Capabilities Assessment'!C22="", "", '4. Capabilities Assessment'!C22)</f>
        <v>BU.02</v>
      </c>
      <c r="B15" s="316" t="str">
        <f>IF('4. Capabilities Assessment'!D22="", "", '4. Capabilities Assessment'!D22)</f>
        <v>Secure Code Review &amp; Static Analysis</v>
      </c>
      <c r="C15" s="318"/>
      <c r="D15" s="318"/>
      <c r="E15" s="318"/>
      <c r="F15" s="318" t="s">
        <v>629</v>
      </c>
      <c r="G15" s="318"/>
      <c r="H15" s="318"/>
      <c r="I15" s="318" t="s">
        <v>629</v>
      </c>
      <c r="J15" s="318"/>
      <c r="K15" s="318"/>
      <c r="L15" s="318" cm="1">
        <f t="array" ref="L15">SUMPRODUCT((ISNUMBER(MATCH($C$6:$K$6,'3. Goals'!$C$9:$C$11,0)))*(C15:K15="X"))</f>
        <v>1</v>
      </c>
      <c r="M15" s="149"/>
    </row>
    <row r="16" spans="1:13" ht="15" x14ac:dyDescent="0.2">
      <c r="A16" s="313" t="str">
        <f>IF('4. Capabilities Assessment'!C23="", "", '4. Capabilities Assessment'!C23)</f>
        <v>BU.03</v>
      </c>
      <c r="B16" s="313" t="str">
        <f>IF('4. Capabilities Assessment'!D23="", "", '4. Capabilities Assessment'!D23)</f>
        <v>Software Supply Chain Security</v>
      </c>
      <c r="C16" s="315"/>
      <c r="D16" s="315"/>
      <c r="E16" s="315" t="s">
        <v>629</v>
      </c>
      <c r="F16" s="315"/>
      <c r="G16" s="315" t="s">
        <v>629</v>
      </c>
      <c r="H16" s="315" t="s">
        <v>629</v>
      </c>
      <c r="I16" s="315" t="s">
        <v>629</v>
      </c>
      <c r="J16" s="315" t="s">
        <v>629</v>
      </c>
      <c r="K16" s="315"/>
      <c r="L16" s="315" cm="1">
        <f t="array" ref="L16">SUMPRODUCT((ISNUMBER(MATCH($C$6:$K$6,'3. Goals'!$C$9:$C$11,0)))*(C16:K16="X"))</f>
        <v>1</v>
      </c>
      <c r="M16" s="149"/>
    </row>
    <row r="17" spans="1:13" ht="15" x14ac:dyDescent="0.2">
      <c r="A17" s="316" t="str">
        <f>IF('4. Capabilities Assessment'!C24="", "", '4. Capabilities Assessment'!C24)</f>
        <v>BU.04</v>
      </c>
      <c r="B17" s="316" t="str">
        <f>IF('4. Capabilities Assessment'!D24="", "", '4. Capabilities Assessment'!D24)</f>
        <v>Secure Build &amp; CI/CD Pipeline</v>
      </c>
      <c r="C17" s="318"/>
      <c r="D17" s="318" t="s">
        <v>629</v>
      </c>
      <c r="E17" s="318"/>
      <c r="F17" s="318"/>
      <c r="G17" s="318" t="s">
        <v>629</v>
      </c>
      <c r="H17" s="318" t="s">
        <v>629</v>
      </c>
      <c r="I17" s="318"/>
      <c r="J17" s="318"/>
      <c r="K17" s="318"/>
      <c r="L17" s="318" cm="1">
        <f t="array" ref="L17">SUMPRODUCT((ISNUMBER(MATCH($C$6:$K$6,'3. Goals'!$C$9:$C$11,0)))*(C17:K17="X"))</f>
        <v>2</v>
      </c>
      <c r="M17" s="149"/>
    </row>
    <row r="18" spans="1:13" ht="15" x14ac:dyDescent="0.2">
      <c r="A18" s="313" t="str">
        <f>IF('4. Capabilities Assessment'!C25="", "", '4. Capabilities Assessment'!C25)</f>
        <v>BU.05</v>
      </c>
      <c r="B18" s="313" t="str">
        <f>IF('4. Capabilities Assessment'!D25="", "", '4. Capabilities Assessment'!D25)</f>
        <v>Secure Version Control &amp; Repository Management</v>
      </c>
      <c r="C18" s="315"/>
      <c r="D18" s="315"/>
      <c r="E18" s="315"/>
      <c r="F18" s="315"/>
      <c r="G18" s="315"/>
      <c r="H18" s="315"/>
      <c r="I18" s="315" t="s">
        <v>629</v>
      </c>
      <c r="J18" s="315" t="s">
        <v>629</v>
      </c>
      <c r="K18" s="315"/>
      <c r="L18" s="315" cm="1">
        <f t="array" ref="L18">SUMPRODUCT((ISNUMBER(MATCH($C$6:$K$6,'3. Goals'!$C$9:$C$11,0)))*(C18:K18="X"))</f>
        <v>0</v>
      </c>
      <c r="M18" s="149"/>
    </row>
    <row r="19" spans="1:13" ht="15" x14ac:dyDescent="0.2">
      <c r="A19" s="316" t="str">
        <f>IF('4. Capabilities Assessment'!C26="", "", '4. Capabilities Assessment'!C26)</f>
        <v>BU.06</v>
      </c>
      <c r="B19" s="316" t="str">
        <f>IF('4. Capabilities Assessment'!D26="", "", '4. Capabilities Assessment'!D26)</f>
        <v>Secrets Management in Development</v>
      </c>
      <c r="C19" s="318"/>
      <c r="D19" s="318"/>
      <c r="E19" s="318"/>
      <c r="F19" s="318"/>
      <c r="G19" s="318"/>
      <c r="H19" s="318"/>
      <c r="I19" s="318" t="s">
        <v>629</v>
      </c>
      <c r="J19" s="318" t="s">
        <v>629</v>
      </c>
      <c r="K19" s="318" t="s">
        <v>629</v>
      </c>
      <c r="L19" s="318" cm="1">
        <f t="array" ref="L19">SUMPRODUCT((ISNUMBER(MATCH($C$6:$K$6,'3. Goals'!$C$9:$C$11,0)))*(C19:K19="X"))</f>
        <v>0</v>
      </c>
      <c r="M19" s="149"/>
    </row>
    <row r="20" spans="1:13" ht="15" x14ac:dyDescent="0.2">
      <c r="A20" s="313" t="str">
        <f>IF('4. Capabilities Assessment'!C27="", "", '4. Capabilities Assessment'!C27)</f>
        <v>TE.01</v>
      </c>
      <c r="B20" s="313" t="str">
        <f>IF('4. Capabilities Assessment'!D27="", "", '4. Capabilities Assessment'!D27)</f>
        <v>Automated Security Testing</v>
      </c>
      <c r="C20" s="315" t="s">
        <v>629</v>
      </c>
      <c r="D20" s="315" t="s">
        <v>629</v>
      </c>
      <c r="E20" s="315" t="s">
        <v>629</v>
      </c>
      <c r="F20" s="315"/>
      <c r="G20" s="315"/>
      <c r="H20" s="315"/>
      <c r="I20" s="315"/>
      <c r="J20" s="315"/>
      <c r="K20" s="315"/>
      <c r="L20" s="315" cm="1">
        <f t="array" ref="L20">SUMPRODUCT((ISNUMBER(MATCH($C$6:$K$6,'3. Goals'!$C$9:$C$11,0)))*(C20:K20="X"))</f>
        <v>1</v>
      </c>
      <c r="M20" s="149"/>
    </row>
    <row r="21" spans="1:13" ht="15" x14ac:dyDescent="0.2">
      <c r="A21" s="316" t="str">
        <f>IF('4. Capabilities Assessment'!C28="", "", '4. Capabilities Assessment'!C28)</f>
        <v>TE.02</v>
      </c>
      <c r="B21" s="316" t="str">
        <f>IF('4. Capabilities Assessment'!D28="", "", '4. Capabilities Assessment'!D28)</f>
        <v>Penetration Testing &amp; Red Teaming</v>
      </c>
      <c r="C21" s="318"/>
      <c r="D21" s="318"/>
      <c r="E21" s="318"/>
      <c r="F21" s="318"/>
      <c r="G21" s="318" t="s">
        <v>629</v>
      </c>
      <c r="H21" s="318" t="s">
        <v>629</v>
      </c>
      <c r="I21" s="318"/>
      <c r="J21" s="318" t="s">
        <v>629</v>
      </c>
      <c r="K21" s="318"/>
      <c r="L21" s="318" cm="1">
        <f t="array" ref="L21">SUMPRODUCT((ISNUMBER(MATCH($C$6:$K$6,'3. Goals'!$C$9:$C$11,0)))*(C21:K21="X"))</f>
        <v>1</v>
      </c>
      <c r="M21" s="149"/>
    </row>
    <row r="22" spans="1:13" ht="15" x14ac:dyDescent="0.2">
      <c r="A22" s="313" t="str">
        <f>IF('4. Capabilities Assessment'!C29="", "", '4. Capabilities Assessment'!C29)</f>
        <v>TE.03</v>
      </c>
      <c r="B22" s="313" t="str">
        <f>IF('4. Capabilities Assessment'!D29="", "", '4. Capabilities Assessment'!D29)</f>
        <v>Fuzz &amp; Chaos Testing</v>
      </c>
      <c r="C22" s="315"/>
      <c r="D22" s="315"/>
      <c r="E22" s="315"/>
      <c r="F22" s="315"/>
      <c r="G22" s="315" t="s">
        <v>629</v>
      </c>
      <c r="H22" s="315"/>
      <c r="I22" s="315"/>
      <c r="J22" s="315" t="s">
        <v>629</v>
      </c>
      <c r="K22" s="315"/>
      <c r="L22" s="315" cm="1">
        <f t="array" ref="L22">SUMPRODUCT((ISNUMBER(MATCH($C$6:$K$6,'3. Goals'!$C$9:$C$11,0)))*(C22:K22="X"))</f>
        <v>0</v>
      </c>
      <c r="M22" s="149"/>
    </row>
    <row r="23" spans="1:13" ht="15" x14ac:dyDescent="0.2">
      <c r="A23" s="316" t="str">
        <f>IF('4. Capabilities Assessment'!C30="", "", '4. Capabilities Assessment'!C30)</f>
        <v>TE.04</v>
      </c>
      <c r="B23" s="316" t="str">
        <f>IF('4. Capabilities Assessment'!D30="", "", '4. Capabilities Assessment'!D30)</f>
        <v>Security Requirements Validation</v>
      </c>
      <c r="C23" s="318"/>
      <c r="D23" s="318"/>
      <c r="E23" s="318" t="s">
        <v>629</v>
      </c>
      <c r="F23" s="318"/>
      <c r="G23" s="318"/>
      <c r="H23" s="318" t="s">
        <v>629</v>
      </c>
      <c r="I23" s="318"/>
      <c r="J23" s="318"/>
      <c r="K23" s="318"/>
      <c r="L23" s="318" cm="1">
        <f t="array" ref="L23">SUMPRODUCT((ISNUMBER(MATCH($C$6:$K$6,'3. Goals'!$C$9:$C$11,0)))*(C23:K23="X"))</f>
        <v>1</v>
      </c>
      <c r="M23" s="149"/>
    </row>
    <row r="24" spans="1:13" ht="15" x14ac:dyDescent="0.2">
      <c r="A24" s="313" t="str">
        <f>IF('4. Capabilities Assessment'!C31="", "", '4. Capabilities Assessment'!C31)</f>
        <v>TE.05</v>
      </c>
      <c r="B24" s="313" t="str">
        <f>IF('4. Capabilities Assessment'!D31="", "", '4. Capabilities Assessment'!D31)</f>
        <v>Secure Test Environments &amp; Data Management</v>
      </c>
      <c r="C24" s="315"/>
      <c r="D24" s="315"/>
      <c r="E24" s="315" t="s">
        <v>629</v>
      </c>
      <c r="F24" s="315" t="s">
        <v>629</v>
      </c>
      <c r="G24" s="315"/>
      <c r="H24" s="315"/>
      <c r="I24" s="315"/>
      <c r="J24" s="315" t="s">
        <v>629</v>
      </c>
      <c r="K24" s="315" t="s">
        <v>629</v>
      </c>
      <c r="L24" s="315" cm="1">
        <f t="array" ref="L24">SUMPRODUCT((ISNUMBER(MATCH($C$6:$K$6,'3. Goals'!$C$9:$C$11,0)))*(C24:K24="X"))</f>
        <v>1</v>
      </c>
      <c r="M24" s="149"/>
    </row>
    <row r="25" spans="1:13" ht="15" x14ac:dyDescent="0.2">
      <c r="A25" s="316" t="str">
        <f>IF('4. Capabilities Assessment'!C32="", "", '4. Capabilities Assessment'!C32)</f>
        <v>DE.01</v>
      </c>
      <c r="B25" s="316" t="str">
        <f>IF('4. Capabilities Assessment'!D32="", "", '4. Capabilities Assessment'!D32)</f>
        <v>Secure Deployment &amp; Infrastructure‑as‑Code (IaC)</v>
      </c>
      <c r="C25" s="318"/>
      <c r="D25" s="318" t="s">
        <v>629</v>
      </c>
      <c r="E25" s="318"/>
      <c r="F25" s="318"/>
      <c r="G25" s="318"/>
      <c r="H25" s="318" t="s">
        <v>629</v>
      </c>
      <c r="I25" s="318" t="s">
        <v>629</v>
      </c>
      <c r="J25" s="318"/>
      <c r="K25" s="318" t="s">
        <v>629</v>
      </c>
      <c r="L25" s="318" cm="1">
        <f t="array" ref="L25">SUMPRODUCT((ISNUMBER(MATCH($C$6:$K$6,'3. Goals'!$C$9:$C$11,0)))*(C25:K25="X"))</f>
        <v>2</v>
      </c>
      <c r="M25" s="149"/>
    </row>
    <row r="26" spans="1:13" ht="15" x14ac:dyDescent="0.2">
      <c r="A26" s="313" t="str">
        <f>IF('4. Capabilities Assessment'!C33="", "", '4. Capabilities Assessment'!C33)</f>
        <v>DE.02</v>
      </c>
      <c r="B26" s="313" t="str">
        <f>IF('4. Capabilities Assessment'!D33="", "", '4. Capabilities Assessment'!D33)</f>
        <v>Container &amp; Orchestrator Security</v>
      </c>
      <c r="C26" s="315" t="s">
        <v>629</v>
      </c>
      <c r="D26" s="315" t="s">
        <v>629</v>
      </c>
      <c r="E26" s="315"/>
      <c r="F26" s="315"/>
      <c r="G26" s="315"/>
      <c r="H26" s="315"/>
      <c r="I26" s="315"/>
      <c r="J26" s="315" t="s">
        <v>629</v>
      </c>
      <c r="K26" s="315" t="s">
        <v>629</v>
      </c>
      <c r="L26" s="315" cm="1">
        <f t="array" ref="L26">SUMPRODUCT((ISNUMBER(MATCH($C$6:$K$6,'3. Goals'!$C$9:$C$11,0)))*(C26:K26="X"))</f>
        <v>1</v>
      </c>
      <c r="M26" s="149"/>
    </row>
    <row r="27" spans="1:13" ht="15" x14ac:dyDescent="0.2">
      <c r="A27" s="316" t="str">
        <f>IF('4. Capabilities Assessment'!C34="", "", '4. Capabilities Assessment'!C34)</f>
        <v>DE.03</v>
      </c>
      <c r="B27" s="316" t="str">
        <f>IF('4. Capabilities Assessment'!D34="", "", '4. Capabilities Assessment'!D34)</f>
        <v>Policy‑as‑Code (PaC) Deployment</v>
      </c>
      <c r="C27" s="318" t="s">
        <v>629</v>
      </c>
      <c r="D27" s="318" t="s">
        <v>629</v>
      </c>
      <c r="E27" s="318"/>
      <c r="F27" s="318"/>
      <c r="G27" s="318"/>
      <c r="H27" s="318"/>
      <c r="I27" s="318"/>
      <c r="J27" s="318" t="s">
        <v>629</v>
      </c>
      <c r="K27" s="318"/>
      <c r="L27" s="318" cm="1">
        <f t="array" ref="L27">SUMPRODUCT((ISNUMBER(MATCH($C$6:$K$6,'3. Goals'!$C$9:$C$11,0)))*(C27:K27="X"))</f>
        <v>1</v>
      </c>
      <c r="M27" s="149"/>
    </row>
    <row r="28" spans="1:13" ht="15" x14ac:dyDescent="0.2">
      <c r="A28" s="313" t="str">
        <f>IF('4. Capabilities Assessment'!C35="", "", '4. Capabilities Assessment'!C35)</f>
        <v>DE.04</v>
      </c>
      <c r="B28" s="313" t="str">
        <f>IF('4. Capabilities Assessment'!D35="", "", '4. Capabilities Assessment'!D35)</f>
        <v>Artifact Signing &amp; Provenance</v>
      </c>
      <c r="C28" s="315"/>
      <c r="D28" s="315"/>
      <c r="E28" s="315"/>
      <c r="F28" s="315"/>
      <c r="G28" s="315"/>
      <c r="H28" s="315"/>
      <c r="I28" s="315" t="s">
        <v>629</v>
      </c>
      <c r="J28" s="315" t="s">
        <v>629</v>
      </c>
      <c r="K28" s="315" t="s">
        <v>629</v>
      </c>
      <c r="L28" s="315" cm="1">
        <f t="array" ref="L28">SUMPRODUCT((ISNUMBER(MATCH($C$6:$K$6,'3. Goals'!$C$9:$C$11,0)))*(C28:K28="X"))</f>
        <v>0</v>
      </c>
      <c r="M28" s="149"/>
    </row>
    <row r="29" spans="1:13" ht="15" x14ac:dyDescent="0.2">
      <c r="A29" s="316" t="str">
        <f>IF('4. Capabilities Assessment'!C36="", "", '4. Capabilities Assessment'!C36)</f>
        <v>DE.05</v>
      </c>
      <c r="B29" s="316" t="str">
        <f>IF('4. Capabilities Assessment'!D36="", "", '4. Capabilities Assessment'!D36)</f>
        <v>Deployment Security Gates &amp; Reviews</v>
      </c>
      <c r="C29" s="318"/>
      <c r="D29" s="318"/>
      <c r="E29" s="318" t="s">
        <v>629</v>
      </c>
      <c r="F29" s="318" t="s">
        <v>629</v>
      </c>
      <c r="G29" s="318"/>
      <c r="H29" s="318" t="s">
        <v>629</v>
      </c>
      <c r="I29" s="318" t="s">
        <v>629</v>
      </c>
      <c r="J29" s="318"/>
      <c r="K29" s="318"/>
      <c r="L29" s="318" cm="1">
        <f t="array" ref="L29">SUMPRODUCT((ISNUMBER(MATCH($C$6:$K$6,'3. Goals'!$C$9:$C$11,0)))*(C29:K29="X"))</f>
        <v>2</v>
      </c>
      <c r="M29" s="149"/>
    </row>
    <row r="30" spans="1:13" ht="15" x14ac:dyDescent="0.2">
      <c r="A30" s="313" t="str">
        <f>IF('4. Capabilities Assessment'!C37="", "", '4. Capabilities Assessment'!C37)</f>
        <v>OM.01</v>
      </c>
      <c r="B30" s="313" t="str">
        <f>IF('4. Capabilities Assessment'!D37="", "", '4. Capabilities Assessment'!D37)</f>
        <v>Security Monitoring &amp; Threat Detection</v>
      </c>
      <c r="C30" s="315" t="s">
        <v>629</v>
      </c>
      <c r="D30" s="315" t="s">
        <v>629</v>
      </c>
      <c r="E30" s="315"/>
      <c r="F30" s="315"/>
      <c r="G30" s="315"/>
      <c r="H30" s="315"/>
      <c r="I30" s="315"/>
      <c r="J30" s="315" t="s">
        <v>629</v>
      </c>
      <c r="K30" s="315" t="s">
        <v>629</v>
      </c>
      <c r="L30" s="315" cm="1">
        <f t="array" ref="L30">SUMPRODUCT((ISNUMBER(MATCH($C$6:$K$6,'3. Goals'!$C$9:$C$11,0)))*(C30:K30="X"))</f>
        <v>1</v>
      </c>
      <c r="M30" s="149"/>
    </row>
    <row r="31" spans="1:13" ht="15" x14ac:dyDescent="0.2">
      <c r="A31" s="316" t="str">
        <f>IF('4. Capabilities Assessment'!C38="", "", '4. Capabilities Assessment'!C38)</f>
        <v>OM.02</v>
      </c>
      <c r="B31" s="316" t="str">
        <f>IF('4. Capabilities Assessment'!D38="", "", '4. Capabilities Assessment'!D38)</f>
        <v>Incident Response &amp; Recovery</v>
      </c>
      <c r="C31" s="318"/>
      <c r="D31" s="318"/>
      <c r="E31" s="318"/>
      <c r="F31" s="318" t="s">
        <v>629</v>
      </c>
      <c r="G31" s="318"/>
      <c r="H31" s="318"/>
      <c r="I31" s="318" t="s">
        <v>629</v>
      </c>
      <c r="J31" s="318"/>
      <c r="K31" s="318"/>
      <c r="L31" s="318" cm="1">
        <f t="array" ref="L31">SUMPRODUCT((ISNUMBER(MATCH($C$6:$K$6,'3. Goals'!$C$9:$C$11,0)))*(C31:K31="X"))</f>
        <v>1</v>
      </c>
      <c r="M31" s="149"/>
    </row>
    <row r="32" spans="1:13" ht="15" x14ac:dyDescent="0.2">
      <c r="A32" s="313" t="str">
        <f>IF('4. Capabilities Assessment'!C39="", "", '4. Capabilities Assessment'!C39)</f>
        <v>OM.03</v>
      </c>
      <c r="B32" s="313" t="str">
        <f>IF('4. Capabilities Assessment'!D39="", "", '4. Capabilities Assessment'!D39)</f>
        <v>Vulnerability Management &amp; Patching</v>
      </c>
      <c r="C32" s="315"/>
      <c r="D32" s="315"/>
      <c r="E32" s="315"/>
      <c r="F32" s="315" t="s">
        <v>629</v>
      </c>
      <c r="G32" s="315"/>
      <c r="H32" s="315" t="s">
        <v>629</v>
      </c>
      <c r="I32" s="315"/>
      <c r="J32" s="315"/>
      <c r="K32" s="315" t="s">
        <v>629</v>
      </c>
      <c r="L32" s="315" cm="1">
        <f t="array" ref="L32">SUMPRODUCT((ISNUMBER(MATCH($C$6:$K$6,'3. Goals'!$C$9:$C$11,0)))*(C32:K32="X"))</f>
        <v>2</v>
      </c>
      <c r="M32" s="149"/>
    </row>
    <row r="33" spans="1:13" ht="15" x14ac:dyDescent="0.2">
      <c r="A33" s="316" t="str">
        <f>IF('4. Capabilities Assessment'!C40="", "", '4. Capabilities Assessment'!C40)</f>
        <v>OM.04</v>
      </c>
      <c r="B33" s="316" t="str">
        <f>IF('4. Capabilities Assessment'!D40="", "", '4. Capabilities Assessment'!D40)</f>
        <v>API Security</v>
      </c>
      <c r="C33" s="318" t="s">
        <v>629</v>
      </c>
      <c r="D33" s="318"/>
      <c r="E33" s="318"/>
      <c r="F33" s="318"/>
      <c r="G33" s="318" t="s">
        <v>629</v>
      </c>
      <c r="H33" s="318"/>
      <c r="I33" s="318"/>
      <c r="J33" s="318" t="s">
        <v>629</v>
      </c>
      <c r="K33" s="318"/>
      <c r="L33" s="318" cm="1">
        <f t="array" ref="L33">SUMPRODUCT((ISNUMBER(MATCH($C$6:$K$6,'3. Goals'!$C$9:$C$11,0)))*(C33:K33="X"))</f>
        <v>0</v>
      </c>
      <c r="M33" s="149"/>
    </row>
    <row r="34" spans="1:13" ht="15" x14ac:dyDescent="0.2">
      <c r="A34" s="313" t="str">
        <f>IF('4. Capabilities Assessment'!C41="", "", '4. Capabilities Assessment'!C41)</f>
        <v>OM.05</v>
      </c>
      <c r="B34" s="313" t="str">
        <f>IF('4. Capabilities Assessment'!D41="", "", '4. Capabilities Assessment'!D41)</f>
        <v>Environment Management &amp; Configuration</v>
      </c>
      <c r="C34" s="315" t="s">
        <v>629</v>
      </c>
      <c r="D34" s="315" t="s">
        <v>629</v>
      </c>
      <c r="E34" s="315" t="s">
        <v>629</v>
      </c>
      <c r="F34" s="315"/>
      <c r="G34" s="315"/>
      <c r="H34" s="315"/>
      <c r="I34" s="315"/>
      <c r="J34" s="315"/>
      <c r="K34" s="315"/>
      <c r="L34" s="315" cm="1">
        <f t="array" ref="L34">SUMPRODUCT((ISNUMBER(MATCH($C$6:$K$6,'3. Goals'!$C$9:$C$11,0)))*(C34:K34="X"))</f>
        <v>1</v>
      </c>
      <c r="M34" s="149"/>
    </row>
    <row r="35" spans="1:13" ht="15" customHeight="1" x14ac:dyDescent="0.2">
      <c r="A35" s="316" t="str">
        <f>IF('4. Capabilities Assessment'!C42="", "", '4. Capabilities Assessment'!C42)</f>
        <v>OM.06</v>
      </c>
      <c r="B35" s="316" t="str">
        <f>IF('4. Capabilities Assessment'!D42="", "", '4. Capabilities Assessment'!D42)</f>
        <v>Vulnerability Disclosure &amp; Bug Bounty</v>
      </c>
      <c r="C35" s="318"/>
      <c r="D35" s="318"/>
      <c r="E35" s="318" t="s">
        <v>629</v>
      </c>
      <c r="F35" s="318" t="s">
        <v>629</v>
      </c>
      <c r="G35" s="318"/>
      <c r="H35" s="318"/>
      <c r="I35" s="318"/>
      <c r="J35" s="318"/>
      <c r="K35" s="318" t="s">
        <v>629</v>
      </c>
      <c r="L35" s="318" cm="1">
        <f t="array" ref="L35">SUMPRODUCT((ISNUMBER(MATCH($C$6:$K$6,'3. Goals'!$C$9:$C$11,0)))*(C35:K35="X"))</f>
        <v>1</v>
      </c>
      <c r="M35" s="149"/>
    </row>
    <row r="36" spans="1:13" ht="15" x14ac:dyDescent="0.2">
      <c r="A36" s="313" t="str">
        <f>IF('4. Capabilities Assessment'!C43="", "", '4. Capabilities Assessment'!C43)</f>
        <v>OM.07</v>
      </c>
      <c r="B36" s="313" t="str">
        <f>IF('4. Capabilities Assessment'!D43="", "", '4. Capabilities Assessment'!D43)</f>
        <v>Agentic AI Oversight &amp; Control</v>
      </c>
      <c r="C36" s="315"/>
      <c r="D36" s="315"/>
      <c r="E36" s="315"/>
      <c r="F36" s="315"/>
      <c r="G36" s="315" t="s">
        <v>629</v>
      </c>
      <c r="H36" s="315"/>
      <c r="I36" s="315"/>
      <c r="J36" s="315"/>
      <c r="K36" s="315" t="s">
        <v>629</v>
      </c>
      <c r="L36" s="315" cm="1">
        <f t="array" ref="L36">SUMPRODUCT((ISNUMBER(MATCH($C$6:$K$6,'3. Goals'!$C$9:$C$11,0)))*(C36:K36="X"))</f>
        <v>0</v>
      </c>
      <c r="M36" s="149"/>
    </row>
    <row r="39" spans="1:13" x14ac:dyDescent="0.2">
      <c r="B39" s="9"/>
    </row>
    <row r="40" spans="1:13" x14ac:dyDescent="0.2">
      <c r="B40" s="9"/>
    </row>
    <row r="41" spans="1:13" ht="15" x14ac:dyDescent="0.2">
      <c r="B41" s="9"/>
      <c r="C41" s="16"/>
      <c r="D41" s="16"/>
      <c r="E41" s="16"/>
      <c r="F41" s="16"/>
      <c r="G41" s="16"/>
      <c r="H41" s="16"/>
      <c r="I41" s="16"/>
      <c r="J41" s="16"/>
      <c r="K41" s="16"/>
      <c r="L41" s="16"/>
    </row>
    <row r="43" spans="1:13" ht="44.25" customHeight="1" thickBot="1" x14ac:dyDescent="0.3">
      <c r="A43" s="307" t="s">
        <v>81</v>
      </c>
      <c r="B43" s="308" t="s">
        <v>630</v>
      </c>
      <c r="C43" s="309" t="str">
        <f>IF('3. Goals'!$G17="", "", '3. Goals'!$G17)</f>
        <v>Software supply‑chain compromise.</v>
      </c>
      <c r="D43" s="309" t="str">
        <f>IF('3. Goals'!$G18="", "", '3. Goals'!$G18)</f>
        <v>Mass credential‑stuffing and account takeover.</v>
      </c>
      <c r="E43" s="309" t="str">
        <f>IF('3. Goals'!$G19="", "", '3. Goals'!$G19)</f>
        <v>Business‑logic abuse through exposed APIs.</v>
      </c>
      <c r="F43" s="309" t="str">
        <f>IF('3. Goals'!$G20="", "", '3. Goals'!$G20)</f>
        <v>Ransomware beachhead via vulnerable web apps.</v>
      </c>
      <c r="G43" s="309" t="str">
        <f>IF('3. Goals'!$G21="", "", '3. Goals'!$G21)</f>
        <v>Prolonged service outage due to zero-day attacks.</v>
      </c>
      <c r="H43" s="309" t="str">
        <f>IF('3. Goals'!$G22="", "", '3. Goals'!$G22)</f>
        <v>Sensitive‑data leakage in AI‑enabled apps.</v>
      </c>
      <c r="I43" s="309" t="str">
        <f>IF('3. Goals'!$G23="", "", '3. Goals'!$G23)</f>
        <v>Insider misuse or privileged‑user abuse of critical functions.</v>
      </c>
      <c r="J43" s="309" t="str">
        <f>IF('3. Goals'!$G24="", "", '3. Goals'!$G24)</f>
        <v>Quantum computing renders legacy encryption obsolete.</v>
      </c>
      <c r="K43" s="309" t="str">
        <f>IF('3. Goals'!$G25="", "", '3. Goals'!$G25)</f>
        <v>Nation-state attack on critical infrastructure via sleeper accounts.</v>
      </c>
      <c r="L43" s="309" t="s">
        <v>615</v>
      </c>
      <c r="M43" s="16"/>
    </row>
    <row r="44" spans="1:13" ht="15.75" thickTop="1" x14ac:dyDescent="0.2">
      <c r="A44" s="310" t="str">
        <f>IF('4. Capabilities Assessment'!C14="", "", '4. Capabilities Assessment'!C14)</f>
        <v>AD.01</v>
      </c>
      <c r="B44" s="311" t="str">
        <f>IF('4. Capabilities Assessment'!D14="", "", '4. Capabilities Assessment'!D14)</f>
        <v>Security Requirements Definition</v>
      </c>
      <c r="C44" s="319"/>
      <c r="D44" s="319" t="s">
        <v>629</v>
      </c>
      <c r="E44" s="319" t="s">
        <v>629</v>
      </c>
      <c r="F44" s="319"/>
      <c r="G44" s="319"/>
      <c r="H44" s="319" t="s">
        <v>629</v>
      </c>
      <c r="I44" s="319" t="s">
        <v>629</v>
      </c>
      <c r="J44" s="319" t="s">
        <v>629</v>
      </c>
      <c r="K44" s="319"/>
      <c r="L44" s="324" cm="1">
        <f t="array" ref="L44">SUMPRODUCT((ISNUMBER(MATCH($C$43:$K$43,'3. Goals'!$C$20:$C$22,0)))*(C44:K44="X"))</f>
        <v>2</v>
      </c>
      <c r="M44" s="149"/>
    </row>
    <row r="45" spans="1:13" ht="15" x14ac:dyDescent="0.2">
      <c r="A45" s="313" t="str">
        <f>IF('4. Capabilities Assessment'!C15="", "", '4. Capabilities Assessment'!C15)</f>
        <v>AD.02</v>
      </c>
      <c r="B45" s="314" t="str">
        <f>IF('4. Capabilities Assessment'!D15="", "", '4. Capabilities Assessment'!D15)</f>
        <v>Threat Modeling</v>
      </c>
      <c r="C45" s="320"/>
      <c r="D45" s="320" t="s">
        <v>629</v>
      </c>
      <c r="E45" s="320" t="s">
        <v>629</v>
      </c>
      <c r="F45" s="320" t="s">
        <v>629</v>
      </c>
      <c r="G45" s="320"/>
      <c r="H45" s="320" t="s">
        <v>629</v>
      </c>
      <c r="I45" s="320" t="s">
        <v>629</v>
      </c>
      <c r="J45" s="320" t="s">
        <v>629</v>
      </c>
      <c r="K45" s="320" t="s">
        <v>629</v>
      </c>
      <c r="L45" s="325" cm="1">
        <f t="array" ref="L45">SUMPRODUCT((ISNUMBER(MATCH($C$43:$K$43,'3. Goals'!$C$20:$C$22,0)))*(C45:K45="X"))</f>
        <v>3</v>
      </c>
    </row>
    <row r="46" spans="1:13" ht="15" x14ac:dyDescent="0.2">
      <c r="A46" s="316" t="str">
        <f>IF('4. Capabilities Assessment'!C16="", "", '4. Capabilities Assessment'!C16)</f>
        <v>AD.03</v>
      </c>
      <c r="B46" s="317" t="str">
        <f>IF('4. Capabilities Assessment'!D16="", "", '4. Capabilities Assessment'!D16)</f>
        <v>Secure Architecture Design</v>
      </c>
      <c r="C46" s="321"/>
      <c r="D46" s="321" t="s">
        <v>629</v>
      </c>
      <c r="E46" s="321" t="s">
        <v>629</v>
      </c>
      <c r="F46" s="321"/>
      <c r="G46" s="321" t="s">
        <v>629</v>
      </c>
      <c r="H46" s="321" t="s">
        <v>629</v>
      </c>
      <c r="I46" s="321" t="s">
        <v>629</v>
      </c>
      <c r="J46" s="321" t="s">
        <v>629</v>
      </c>
      <c r="K46" s="321"/>
      <c r="L46" s="326" cm="1">
        <f t="array" ref="L46">SUMPRODUCT((ISNUMBER(MATCH($C$43:$K$43,'3. Goals'!$C$20:$C$22,0)))*(C46:K46="X"))</f>
        <v>2</v>
      </c>
    </row>
    <row r="47" spans="1:13" ht="15" x14ac:dyDescent="0.2">
      <c r="A47" s="313" t="str">
        <f>IF('4. Capabilities Assessment'!C17="", "", '4. Capabilities Assessment'!C17)</f>
        <v>AD.04</v>
      </c>
      <c r="B47" s="314" t="str">
        <f>IF('4. Capabilities Assessment'!D17="", "", '4. Capabilities Assessment'!D17)</f>
        <v>Zero Trust Architecture</v>
      </c>
      <c r="C47" s="320"/>
      <c r="D47" s="320" t="s">
        <v>629</v>
      </c>
      <c r="E47" s="320"/>
      <c r="F47" s="320"/>
      <c r="G47" s="320" t="s">
        <v>629</v>
      </c>
      <c r="H47" s="320"/>
      <c r="I47" s="320" t="s">
        <v>629</v>
      </c>
      <c r="J47" s="320"/>
      <c r="K47" s="320" t="s">
        <v>629</v>
      </c>
      <c r="L47" s="325" cm="1">
        <f t="array" ref="L47">SUMPRODUCT((ISNUMBER(MATCH($C$43:$K$43,'3. Goals'!$C$20:$C$22,0)))*(C47:K47="X"))</f>
        <v>1</v>
      </c>
    </row>
    <row r="48" spans="1:13" ht="15" x14ac:dyDescent="0.2">
      <c r="A48" s="316" t="str">
        <f>IF('4. Capabilities Assessment'!C18="", "", '4. Capabilities Assessment'!C18)</f>
        <v>AD.05</v>
      </c>
      <c r="B48" s="317" t="str">
        <f>IF('4. Capabilities Assessment'!D18="", "", '4. Capabilities Assessment'!D18)</f>
        <v>Secure AI/ML Design</v>
      </c>
      <c r="C48" s="321"/>
      <c r="D48" s="321"/>
      <c r="E48" s="321"/>
      <c r="F48" s="321"/>
      <c r="G48" s="321"/>
      <c r="H48" s="321" t="s">
        <v>629</v>
      </c>
      <c r="I48" s="321"/>
      <c r="J48" s="321"/>
      <c r="K48" s="321"/>
      <c r="L48" s="326" cm="1">
        <f t="array" ref="L48">SUMPRODUCT((ISNUMBER(MATCH($C$43:$K$43,'3. Goals'!$C$20:$C$22,0)))*(C48:K48="X"))</f>
        <v>0</v>
      </c>
    </row>
    <row r="49" spans="1:12" ht="15" x14ac:dyDescent="0.2">
      <c r="A49" s="313" t="str">
        <f>IF('4. Capabilities Assessment'!C19="", "", '4. Capabilities Assessment'!C19)</f>
        <v>AD.06</v>
      </c>
      <c r="B49" s="314" t="str">
        <f>IF('4. Capabilities Assessment'!D19="", "", '4. Capabilities Assessment'!D19)</f>
        <v>AI/ML Training Data Collection Security</v>
      </c>
      <c r="C49" s="320" t="s">
        <v>629</v>
      </c>
      <c r="D49" s="320"/>
      <c r="E49" s="320"/>
      <c r="F49" s="320"/>
      <c r="G49" s="320"/>
      <c r="H49" s="320" t="s">
        <v>629</v>
      </c>
      <c r="I49" s="320"/>
      <c r="J49" s="320"/>
      <c r="K49" s="320"/>
      <c r="L49" s="325" cm="1">
        <f t="array" ref="L49">SUMPRODUCT((ISNUMBER(MATCH($C$43:$K$43,'3. Goals'!$C$20:$C$22,0)))*(C49:K49="X"))</f>
        <v>0</v>
      </c>
    </row>
    <row r="50" spans="1:12" ht="15" x14ac:dyDescent="0.2">
      <c r="A50" s="316" t="str">
        <f>IF('4. Capabilities Assessment'!C20="", "", '4. Capabilities Assessment'!C20)</f>
        <v>AD.07</v>
      </c>
      <c r="B50" s="317" t="str">
        <f>IF('4. Capabilities Assessment'!D20="", "", '4. Capabilities Assessment'!D20)</f>
        <v>Secure Design Review &amp; Assurance</v>
      </c>
      <c r="C50" s="321"/>
      <c r="D50" s="321" t="s">
        <v>629</v>
      </c>
      <c r="E50" s="321"/>
      <c r="F50" s="321"/>
      <c r="G50" s="321"/>
      <c r="H50" s="321" t="s">
        <v>629</v>
      </c>
      <c r="I50" s="321"/>
      <c r="J50" s="321"/>
      <c r="K50" s="321"/>
      <c r="L50" s="326" cm="1">
        <f t="array" ref="L50">SUMPRODUCT((ISNUMBER(MATCH($C$43:$K$43,'3. Goals'!$C$20:$C$22,0)))*(C50:K50="X"))</f>
        <v>0</v>
      </c>
    </row>
    <row r="51" spans="1:12" ht="15" x14ac:dyDescent="0.2">
      <c r="A51" s="313" t="str">
        <f>IF('4. Capabilities Assessment'!C21="", "", '4. Capabilities Assessment'!C21)</f>
        <v>BU.01</v>
      </c>
      <c r="B51" s="314" t="str">
        <f>IF('4. Capabilities Assessment'!D21="", "", '4. Capabilities Assessment'!D21)</f>
        <v>Secure Coding Practices &amp; Training</v>
      </c>
      <c r="C51" s="320"/>
      <c r="D51" s="320"/>
      <c r="E51" s="320" t="s">
        <v>629</v>
      </c>
      <c r="F51" s="320" t="s">
        <v>629</v>
      </c>
      <c r="G51" s="320"/>
      <c r="H51" s="320"/>
      <c r="I51" s="320" t="s">
        <v>629</v>
      </c>
      <c r="J51" s="320" t="s">
        <v>629</v>
      </c>
      <c r="K51" s="320"/>
      <c r="L51" s="325" cm="1">
        <f t="array" ref="L51">SUMPRODUCT((ISNUMBER(MATCH($C$43:$K$43,'3. Goals'!$C$20:$C$22,0)))*(C51:K51="X"))</f>
        <v>3</v>
      </c>
    </row>
    <row r="52" spans="1:12" ht="15" x14ac:dyDescent="0.2">
      <c r="A52" s="316" t="str">
        <f>IF('4. Capabilities Assessment'!C22="", "", '4. Capabilities Assessment'!C22)</f>
        <v>BU.02</v>
      </c>
      <c r="B52" s="317" t="str">
        <f>IF('4. Capabilities Assessment'!D22="", "", '4. Capabilities Assessment'!D22)</f>
        <v>Secure Code Review &amp; Static Analysis</v>
      </c>
      <c r="C52" s="321"/>
      <c r="D52" s="321"/>
      <c r="E52" s="321"/>
      <c r="F52" s="321" t="s">
        <v>629</v>
      </c>
      <c r="G52" s="321"/>
      <c r="H52" s="321"/>
      <c r="I52" s="321"/>
      <c r="J52" s="321"/>
      <c r="K52" s="321"/>
      <c r="L52" s="326" cm="1">
        <f t="array" ref="L52">SUMPRODUCT((ISNUMBER(MATCH($C$43:$K$43,'3. Goals'!$C$20:$C$22,0)))*(C52:K52="X"))</f>
        <v>1</v>
      </c>
    </row>
    <row r="53" spans="1:12" ht="15" x14ac:dyDescent="0.2">
      <c r="A53" s="313" t="str">
        <f>IF('4. Capabilities Assessment'!C23="", "", '4. Capabilities Assessment'!C23)</f>
        <v>BU.03</v>
      </c>
      <c r="B53" s="314" t="str">
        <f>IF('4. Capabilities Assessment'!D23="", "", '4. Capabilities Assessment'!D23)</f>
        <v>Software Supply Chain Security</v>
      </c>
      <c r="C53" s="320" t="s">
        <v>629</v>
      </c>
      <c r="D53" s="320"/>
      <c r="E53" s="320"/>
      <c r="F53" s="320"/>
      <c r="G53" s="320" t="s">
        <v>629</v>
      </c>
      <c r="H53" s="320"/>
      <c r="I53" s="320"/>
      <c r="J53" s="320"/>
      <c r="K53" s="320" t="s">
        <v>629</v>
      </c>
      <c r="L53" s="325" cm="1">
        <f t="array" ref="L53">SUMPRODUCT((ISNUMBER(MATCH($C$43:$K$43,'3. Goals'!$C$20:$C$22,0)))*(C53:K53="X"))</f>
        <v>0</v>
      </c>
    </row>
    <row r="54" spans="1:12" ht="15" x14ac:dyDescent="0.2">
      <c r="A54" s="316" t="str">
        <f>IF('4. Capabilities Assessment'!C24="", "", '4. Capabilities Assessment'!C24)</f>
        <v>BU.04</v>
      </c>
      <c r="B54" s="317" t="str">
        <f>IF('4. Capabilities Assessment'!D24="", "", '4. Capabilities Assessment'!D24)</f>
        <v>Secure Build &amp; CI/CD Pipeline</v>
      </c>
      <c r="C54" s="321" t="s">
        <v>629</v>
      </c>
      <c r="D54" s="321"/>
      <c r="E54" s="321"/>
      <c r="F54" s="321"/>
      <c r="G54" s="321"/>
      <c r="H54" s="321"/>
      <c r="I54" s="321" t="s">
        <v>629</v>
      </c>
      <c r="J54" s="321"/>
      <c r="K54" s="321"/>
      <c r="L54" s="326" cm="1">
        <f t="array" ref="L54">SUMPRODUCT((ISNUMBER(MATCH($C$43:$K$43,'3. Goals'!$C$20:$C$22,0)))*(C54:K54="X"))</f>
        <v>1</v>
      </c>
    </row>
    <row r="55" spans="1:12" ht="15" x14ac:dyDescent="0.2">
      <c r="A55" s="313" t="str">
        <f>IF('4. Capabilities Assessment'!C25="", "", '4. Capabilities Assessment'!C25)</f>
        <v>BU.05</v>
      </c>
      <c r="B55" s="314" t="str">
        <f>IF('4. Capabilities Assessment'!D25="", "", '4. Capabilities Assessment'!D25)</f>
        <v>Secure Version Control &amp; Repository Management</v>
      </c>
      <c r="C55" s="320" t="s">
        <v>629</v>
      </c>
      <c r="D55" s="320"/>
      <c r="E55" s="320"/>
      <c r="F55" s="320"/>
      <c r="G55" s="320"/>
      <c r="H55" s="320"/>
      <c r="I55" s="320"/>
      <c r="J55" s="320"/>
      <c r="K55" s="320" t="s">
        <v>629</v>
      </c>
      <c r="L55" s="325" cm="1">
        <f t="array" ref="L55">SUMPRODUCT((ISNUMBER(MATCH($C$43:$K$43,'3. Goals'!$C$20:$C$22,0)))*(C55:K55="X"))</f>
        <v>0</v>
      </c>
    </row>
    <row r="56" spans="1:12" ht="15" x14ac:dyDescent="0.2">
      <c r="A56" s="316" t="str">
        <f>IF('4. Capabilities Assessment'!C26="", "", '4. Capabilities Assessment'!C26)</f>
        <v>BU.06</v>
      </c>
      <c r="B56" s="317" t="str">
        <f>IF('4. Capabilities Assessment'!D26="", "", '4. Capabilities Assessment'!D26)</f>
        <v>Secrets Management in Development</v>
      </c>
      <c r="C56" s="321"/>
      <c r="D56" s="321"/>
      <c r="E56" s="321"/>
      <c r="F56" s="321" t="s">
        <v>629</v>
      </c>
      <c r="G56" s="321"/>
      <c r="H56" s="321"/>
      <c r="I56" s="321" t="s">
        <v>629</v>
      </c>
      <c r="J56" s="321" t="s">
        <v>629</v>
      </c>
      <c r="K56" s="321" t="s">
        <v>629</v>
      </c>
      <c r="L56" s="326" cm="1">
        <f t="array" ref="L56">SUMPRODUCT((ISNUMBER(MATCH($C$43:$K$43,'3. Goals'!$C$20:$C$22,0)))*(C56:K56="X"))</f>
        <v>2</v>
      </c>
    </row>
    <row r="57" spans="1:12" ht="15" x14ac:dyDescent="0.2">
      <c r="A57" s="313" t="str">
        <f>IF('4. Capabilities Assessment'!C27="", "", '4. Capabilities Assessment'!C27)</f>
        <v>TE.01</v>
      </c>
      <c r="B57" s="314" t="str">
        <f>IF('4. Capabilities Assessment'!D27="", "", '4. Capabilities Assessment'!D27)</f>
        <v>Automated Security Testing</v>
      </c>
      <c r="C57" s="320"/>
      <c r="D57" s="320" t="s">
        <v>629</v>
      </c>
      <c r="E57" s="320" t="s">
        <v>629</v>
      </c>
      <c r="F57" s="320" t="s">
        <v>629</v>
      </c>
      <c r="G57" s="320"/>
      <c r="H57" s="320"/>
      <c r="I57" s="320"/>
      <c r="J57" s="320"/>
      <c r="K57" s="320"/>
      <c r="L57" s="325" cm="1">
        <f t="array" ref="L57">SUMPRODUCT((ISNUMBER(MATCH($C$43:$K$43,'3. Goals'!$C$20:$C$22,0)))*(C57:K57="X"))</f>
        <v>2</v>
      </c>
    </row>
    <row r="58" spans="1:12" ht="15" x14ac:dyDescent="0.2">
      <c r="A58" s="316" t="str">
        <f>IF('4. Capabilities Assessment'!C28="", "", '4. Capabilities Assessment'!C28)</f>
        <v>TE.02</v>
      </c>
      <c r="B58" s="317" t="str">
        <f>IF('4. Capabilities Assessment'!D28="", "", '4. Capabilities Assessment'!D28)</f>
        <v>Penetration Testing &amp; Red Teaming</v>
      </c>
      <c r="C58" s="321"/>
      <c r="D58" s="321" t="s">
        <v>629</v>
      </c>
      <c r="E58" s="321" t="s">
        <v>629</v>
      </c>
      <c r="F58" s="321"/>
      <c r="G58" s="321"/>
      <c r="H58" s="321"/>
      <c r="I58" s="321"/>
      <c r="J58" s="321"/>
      <c r="K58" s="321"/>
      <c r="L58" s="326" cm="1">
        <f t="array" ref="L58">SUMPRODUCT((ISNUMBER(MATCH($C$43:$K$43,'3. Goals'!$C$20:$C$22,0)))*(C58:K58="X"))</f>
        <v>1</v>
      </c>
    </row>
    <row r="59" spans="1:12" ht="15" x14ac:dyDescent="0.2">
      <c r="A59" s="313" t="str">
        <f>IF('4. Capabilities Assessment'!C29="", "", '4. Capabilities Assessment'!C29)</f>
        <v>TE.03</v>
      </c>
      <c r="B59" s="314" t="str">
        <f>IF('4. Capabilities Assessment'!D29="", "", '4. Capabilities Assessment'!D29)</f>
        <v>Fuzz &amp; Chaos Testing</v>
      </c>
      <c r="C59" s="320"/>
      <c r="D59" s="320" t="s">
        <v>629</v>
      </c>
      <c r="E59" s="320" t="s">
        <v>629</v>
      </c>
      <c r="F59" s="320"/>
      <c r="G59" s="320" t="s">
        <v>629</v>
      </c>
      <c r="H59" s="320" t="s">
        <v>629</v>
      </c>
      <c r="I59" s="320"/>
      <c r="J59" s="320"/>
      <c r="K59" s="320"/>
      <c r="L59" s="325" cm="1">
        <f t="array" ref="L59">SUMPRODUCT((ISNUMBER(MATCH($C$43:$K$43,'3. Goals'!$C$20:$C$22,0)))*(C59:K59="X"))</f>
        <v>1</v>
      </c>
    </row>
    <row r="60" spans="1:12" ht="15" x14ac:dyDescent="0.2">
      <c r="A60" s="316" t="str">
        <f>IF('4. Capabilities Assessment'!C30="", "", '4. Capabilities Assessment'!C30)</f>
        <v>TE.04</v>
      </c>
      <c r="B60" s="317" t="str">
        <f>IF('4. Capabilities Assessment'!D30="", "", '4. Capabilities Assessment'!D30)</f>
        <v>Security Requirements Validation</v>
      </c>
      <c r="C60" s="321"/>
      <c r="D60" s="321"/>
      <c r="E60" s="321" t="s">
        <v>629</v>
      </c>
      <c r="F60" s="321"/>
      <c r="G60" s="321"/>
      <c r="H60" s="321"/>
      <c r="I60" s="321"/>
      <c r="J60" s="321" t="s">
        <v>629</v>
      </c>
      <c r="K60" s="321"/>
      <c r="L60" s="326" cm="1">
        <f t="array" ref="L60">SUMPRODUCT((ISNUMBER(MATCH($C$43:$K$43,'3. Goals'!$C$20:$C$22,0)))*(C60:K60="X"))</f>
        <v>1</v>
      </c>
    </row>
    <row r="61" spans="1:12" ht="15" x14ac:dyDescent="0.2">
      <c r="A61" s="313" t="str">
        <f>IF('4. Capabilities Assessment'!C31="", "", '4. Capabilities Assessment'!C31)</f>
        <v>TE.05</v>
      </c>
      <c r="B61" s="314" t="str">
        <f>IF('4. Capabilities Assessment'!D31="", "", '4. Capabilities Assessment'!D31)</f>
        <v>Secure Test Environments &amp; Data Management</v>
      </c>
      <c r="C61" s="320"/>
      <c r="D61" s="320"/>
      <c r="E61" s="320"/>
      <c r="F61" s="320" t="s">
        <v>629</v>
      </c>
      <c r="G61" s="320"/>
      <c r="H61" s="320" t="s">
        <v>629</v>
      </c>
      <c r="I61" s="320" t="s">
        <v>629</v>
      </c>
      <c r="J61" s="320"/>
      <c r="K61" s="320" t="s">
        <v>629</v>
      </c>
      <c r="L61" s="325" cm="1">
        <f t="array" ref="L61">SUMPRODUCT((ISNUMBER(MATCH($C$43:$K$43,'3. Goals'!$C$20:$C$22,0)))*(C61:K61="X"))</f>
        <v>2</v>
      </c>
    </row>
    <row r="62" spans="1:12" ht="15" x14ac:dyDescent="0.2">
      <c r="A62" s="316" t="str">
        <f>IF('4. Capabilities Assessment'!C32="", "", '4. Capabilities Assessment'!C32)</f>
        <v>DE.01</v>
      </c>
      <c r="B62" s="317" t="str">
        <f>IF('4. Capabilities Assessment'!D32="", "", '4. Capabilities Assessment'!D32)</f>
        <v>Secure Deployment &amp; Infrastructure‑as‑Code (IaC)</v>
      </c>
      <c r="C62" s="321" t="s">
        <v>629</v>
      </c>
      <c r="D62" s="321"/>
      <c r="E62" s="321"/>
      <c r="F62" s="321" t="s">
        <v>629</v>
      </c>
      <c r="G62" s="321"/>
      <c r="H62" s="321"/>
      <c r="I62" s="321"/>
      <c r="J62" s="321" t="s">
        <v>629</v>
      </c>
      <c r="K62" s="321"/>
      <c r="L62" s="326" cm="1">
        <f t="array" ref="L62">SUMPRODUCT((ISNUMBER(MATCH($C$43:$K$43,'3. Goals'!$C$20:$C$22,0)))*(C62:K62="X"))</f>
        <v>1</v>
      </c>
    </row>
    <row r="63" spans="1:12" ht="15" x14ac:dyDescent="0.2">
      <c r="A63" s="313" t="str">
        <f>IF('4. Capabilities Assessment'!C33="", "", '4. Capabilities Assessment'!C33)</f>
        <v>DE.02</v>
      </c>
      <c r="B63" s="314" t="str">
        <f>IF('4. Capabilities Assessment'!D33="", "", '4. Capabilities Assessment'!D33)</f>
        <v>Container &amp; Orchestrator Security</v>
      </c>
      <c r="C63" s="320"/>
      <c r="D63" s="320"/>
      <c r="E63" s="320"/>
      <c r="F63" s="320"/>
      <c r="G63" s="320" t="s">
        <v>629</v>
      </c>
      <c r="H63" s="320"/>
      <c r="I63" s="320"/>
      <c r="J63" s="320"/>
      <c r="K63" s="320"/>
      <c r="L63" s="325" cm="1">
        <f t="array" ref="L63">SUMPRODUCT((ISNUMBER(MATCH($C$43:$K$43,'3. Goals'!$C$20:$C$22,0)))*(C63:K63="X"))</f>
        <v>0</v>
      </c>
    </row>
    <row r="64" spans="1:12" ht="15" x14ac:dyDescent="0.2">
      <c r="A64" s="316" t="str">
        <f>IF('4. Capabilities Assessment'!C34="", "", '4. Capabilities Assessment'!C34)</f>
        <v>DE.03</v>
      </c>
      <c r="B64" s="317" t="str">
        <f>IF('4. Capabilities Assessment'!D34="", "", '4. Capabilities Assessment'!D34)</f>
        <v>Policy‑as‑Code (PaC) Deployment</v>
      </c>
      <c r="C64" s="321"/>
      <c r="D64" s="321"/>
      <c r="E64" s="321"/>
      <c r="F64" s="321"/>
      <c r="G64" s="321" t="s">
        <v>629</v>
      </c>
      <c r="H64" s="321"/>
      <c r="I64" s="321" t="s">
        <v>629</v>
      </c>
      <c r="J64" s="321"/>
      <c r="K64" s="321"/>
      <c r="L64" s="326" cm="1">
        <f t="array" ref="L64">SUMPRODUCT((ISNUMBER(MATCH($C$43:$K$43,'3. Goals'!$C$20:$C$22,0)))*(C64:K64="X"))</f>
        <v>1</v>
      </c>
    </row>
    <row r="65" spans="1:12" ht="15" x14ac:dyDescent="0.2">
      <c r="A65" s="313" t="str">
        <f>IF('4. Capabilities Assessment'!C35="", "", '4. Capabilities Assessment'!C35)</f>
        <v>DE.04</v>
      </c>
      <c r="B65" s="314" t="str">
        <f>IF('4. Capabilities Assessment'!D35="", "", '4. Capabilities Assessment'!D35)</f>
        <v>Artifact Signing &amp; Provenance</v>
      </c>
      <c r="C65" s="320" t="s">
        <v>629</v>
      </c>
      <c r="D65" s="320"/>
      <c r="E65" s="320"/>
      <c r="F65" s="320"/>
      <c r="G65" s="320"/>
      <c r="H65" s="320"/>
      <c r="I65" s="320" t="s">
        <v>629</v>
      </c>
      <c r="J65" s="320"/>
      <c r="K65" s="320" t="s">
        <v>629</v>
      </c>
      <c r="L65" s="325" cm="1">
        <f t="array" ref="L65">SUMPRODUCT((ISNUMBER(MATCH($C$43:$K$43,'3. Goals'!$C$20:$C$22,0)))*(C65:K65="X"))</f>
        <v>1</v>
      </c>
    </row>
    <row r="66" spans="1:12" ht="15" x14ac:dyDescent="0.2">
      <c r="A66" s="316" t="str">
        <f>IF('4. Capabilities Assessment'!C36="", "", '4. Capabilities Assessment'!C36)</f>
        <v>DE.05</v>
      </c>
      <c r="B66" s="317" t="str">
        <f>IF('4. Capabilities Assessment'!D36="", "", '4. Capabilities Assessment'!D36)</f>
        <v>Deployment Security Gates &amp; Reviews</v>
      </c>
      <c r="C66" s="321" t="s">
        <v>629</v>
      </c>
      <c r="D66" s="321"/>
      <c r="E66" s="321"/>
      <c r="F66" s="321"/>
      <c r="G66" s="321"/>
      <c r="H66" s="321" t="s">
        <v>629</v>
      </c>
      <c r="I66" s="321"/>
      <c r="J66" s="321" t="s">
        <v>629</v>
      </c>
      <c r="K66" s="321"/>
      <c r="L66" s="326" cm="1">
        <f t="array" ref="L66">SUMPRODUCT((ISNUMBER(MATCH($C$43:$K$43,'3. Goals'!$C$20:$C$22,0)))*(C66:K66="X"))</f>
        <v>0</v>
      </c>
    </row>
    <row r="67" spans="1:12" ht="15" x14ac:dyDescent="0.2">
      <c r="A67" s="313" t="str">
        <f>IF('4. Capabilities Assessment'!C37="", "", '4. Capabilities Assessment'!C37)</f>
        <v>OM.01</v>
      </c>
      <c r="B67" s="314" t="str">
        <f>IF('4. Capabilities Assessment'!D37="", "", '4. Capabilities Assessment'!D37)</f>
        <v>Security Monitoring &amp; Threat Detection</v>
      </c>
      <c r="C67" s="320"/>
      <c r="D67" s="320" t="s">
        <v>629</v>
      </c>
      <c r="E67" s="320" t="s">
        <v>629</v>
      </c>
      <c r="F67" s="320" t="s">
        <v>629</v>
      </c>
      <c r="G67" s="320"/>
      <c r="H67" s="320"/>
      <c r="I67" s="320" t="s">
        <v>629</v>
      </c>
      <c r="J67" s="320"/>
      <c r="K67" s="320" t="s">
        <v>629</v>
      </c>
      <c r="L67" s="325" cm="1">
        <f t="array" ref="L67">SUMPRODUCT((ISNUMBER(MATCH($C$43:$K$43,'3. Goals'!$C$20:$C$22,0)))*(C67:K67="X"))</f>
        <v>3</v>
      </c>
    </row>
    <row r="68" spans="1:12" ht="15" x14ac:dyDescent="0.2">
      <c r="A68" s="316" t="str">
        <f>IF('4. Capabilities Assessment'!C38="", "", '4. Capabilities Assessment'!C38)</f>
        <v>OM.02</v>
      </c>
      <c r="B68" s="317" t="str">
        <f>IF('4. Capabilities Assessment'!D38="", "", '4. Capabilities Assessment'!D38)</f>
        <v>Incident Response &amp; Recovery</v>
      </c>
      <c r="C68" s="321"/>
      <c r="D68" s="321" t="s">
        <v>629</v>
      </c>
      <c r="E68" s="321" t="s">
        <v>629</v>
      </c>
      <c r="F68" s="321" t="s">
        <v>629</v>
      </c>
      <c r="G68" s="321" t="s">
        <v>629</v>
      </c>
      <c r="H68" s="321"/>
      <c r="I68" s="321"/>
      <c r="J68" s="321"/>
      <c r="K68" s="321" t="s">
        <v>629</v>
      </c>
      <c r="L68" s="326" cm="1">
        <f t="array" ref="L68">SUMPRODUCT((ISNUMBER(MATCH($C$43:$K$43,'3. Goals'!$C$20:$C$22,0)))*(C68:K68="X"))</f>
        <v>2</v>
      </c>
    </row>
    <row r="69" spans="1:12" ht="15" x14ac:dyDescent="0.2">
      <c r="A69" s="313" t="str">
        <f>IF('4. Capabilities Assessment'!C39="", "", '4. Capabilities Assessment'!C39)</f>
        <v>OM.03</v>
      </c>
      <c r="B69" s="314" t="str">
        <f>IF('4. Capabilities Assessment'!D39="", "", '4. Capabilities Assessment'!D39)</f>
        <v>Vulnerability Management &amp; Patching</v>
      </c>
      <c r="C69" s="320" t="s">
        <v>629</v>
      </c>
      <c r="D69" s="320"/>
      <c r="E69" s="320"/>
      <c r="F69" s="320"/>
      <c r="G69" s="320" t="s">
        <v>629</v>
      </c>
      <c r="H69" s="320"/>
      <c r="I69" s="320"/>
      <c r="J69" s="320"/>
      <c r="K69" s="320" t="s">
        <v>629</v>
      </c>
      <c r="L69" s="325" cm="1">
        <f t="array" ref="L69">SUMPRODUCT((ISNUMBER(MATCH($C$43:$K$43,'3. Goals'!$C$20:$C$22,0)))*(C69:K69="X"))</f>
        <v>0</v>
      </c>
    </row>
    <row r="70" spans="1:12" ht="15" x14ac:dyDescent="0.2">
      <c r="A70" s="316" t="str">
        <f>IF('4. Capabilities Assessment'!C40="", "", '4. Capabilities Assessment'!C40)</f>
        <v>OM.04</v>
      </c>
      <c r="B70" s="317" t="str">
        <f>IF('4. Capabilities Assessment'!D40="", "", '4. Capabilities Assessment'!D40)</f>
        <v>API Security</v>
      </c>
      <c r="C70" s="321"/>
      <c r="D70" s="321"/>
      <c r="E70" s="321" t="s">
        <v>629</v>
      </c>
      <c r="F70" s="321" t="s">
        <v>629</v>
      </c>
      <c r="G70" s="321"/>
      <c r="H70" s="321" t="s">
        <v>629</v>
      </c>
      <c r="I70" s="321"/>
      <c r="J70" s="321"/>
      <c r="K70" s="321"/>
      <c r="L70" s="326" cm="1">
        <f t="array" ref="L70">SUMPRODUCT((ISNUMBER(MATCH($C$43:$K$43,'3. Goals'!$C$20:$C$22,0)))*(C70:K70="X"))</f>
        <v>2</v>
      </c>
    </row>
    <row r="71" spans="1:12" ht="15" x14ac:dyDescent="0.2">
      <c r="A71" s="313" t="str">
        <f>IF('4. Capabilities Assessment'!C41="", "", '4. Capabilities Assessment'!C41)</f>
        <v>OM.05</v>
      </c>
      <c r="B71" s="314" t="str">
        <f>IF('4. Capabilities Assessment'!D41="", "", '4. Capabilities Assessment'!D41)</f>
        <v>Environment Management &amp; Configuration</v>
      </c>
      <c r="C71" s="320"/>
      <c r="D71" s="320" t="s">
        <v>629</v>
      </c>
      <c r="E71" s="320"/>
      <c r="F71" s="320"/>
      <c r="G71" s="320" t="s">
        <v>629</v>
      </c>
      <c r="H71" s="320"/>
      <c r="I71" s="320" t="s">
        <v>629</v>
      </c>
      <c r="J71" s="320" t="s">
        <v>629</v>
      </c>
      <c r="K71" s="320" t="s">
        <v>629</v>
      </c>
      <c r="L71" s="325" cm="1">
        <f t="array" ref="L71">SUMPRODUCT((ISNUMBER(MATCH($C$43:$K$43,'3. Goals'!$C$20:$C$22,0)))*(C71:K71="X"))</f>
        <v>1</v>
      </c>
    </row>
    <row r="72" spans="1:12" ht="15" x14ac:dyDescent="0.2">
      <c r="A72" s="316" t="str">
        <f>IF('4. Capabilities Assessment'!C42="", "", '4. Capabilities Assessment'!C42)</f>
        <v>OM.06</v>
      </c>
      <c r="B72" s="317" t="str">
        <f>IF('4. Capabilities Assessment'!D42="", "", '4. Capabilities Assessment'!D42)</f>
        <v>Vulnerability Disclosure &amp; Bug Bounty</v>
      </c>
      <c r="C72" s="321"/>
      <c r="D72" s="321" t="s">
        <v>629</v>
      </c>
      <c r="E72" s="321" t="s">
        <v>629</v>
      </c>
      <c r="F72" s="321"/>
      <c r="G72" s="321" t="s">
        <v>629</v>
      </c>
      <c r="H72" s="321"/>
      <c r="I72" s="321"/>
      <c r="J72" s="321"/>
      <c r="K72" s="321"/>
      <c r="L72" s="326" cm="1">
        <f t="array" ref="L72">SUMPRODUCT((ISNUMBER(MATCH($C$43:$K$43,'3. Goals'!$C$20:$C$22,0)))*(C72:K72="X"))</f>
        <v>1</v>
      </c>
    </row>
    <row r="73" spans="1:12" ht="15" x14ac:dyDescent="0.2">
      <c r="A73" s="313" t="str">
        <f>IF('4. Capabilities Assessment'!C43="", "", '4. Capabilities Assessment'!C43)</f>
        <v>OM.07</v>
      </c>
      <c r="B73" s="314" t="str">
        <f>IF('4. Capabilities Assessment'!D43="", "", '4. Capabilities Assessment'!D43)</f>
        <v>Agentic AI Oversight &amp; Control</v>
      </c>
      <c r="C73" s="320"/>
      <c r="D73" s="320"/>
      <c r="E73" s="320" t="s">
        <v>629</v>
      </c>
      <c r="F73" s="320"/>
      <c r="G73" s="320"/>
      <c r="H73" s="320" t="s">
        <v>629</v>
      </c>
      <c r="I73" s="320"/>
      <c r="J73" s="320"/>
      <c r="K73" s="320"/>
      <c r="L73" s="325" cm="1">
        <f t="array" ref="L73">SUMPRODUCT((ISNUMBER(MATCH($C$43:$K$43,'3. Goals'!$C$20:$C$22,0)))*(C73:K73="X"))</f>
        <v>1</v>
      </c>
    </row>
  </sheetData>
  <mergeCells count="1">
    <mergeCell ref="A4:G4"/>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1. Introduction</vt:lpstr>
      <vt:lpstr>2. Setup</vt:lpstr>
      <vt:lpstr>3. Goals</vt:lpstr>
      <vt:lpstr>4. Capabilities Assessment</vt:lpstr>
      <vt:lpstr>5. Initiative List</vt:lpstr>
      <vt:lpstr>6. Prioritization</vt:lpstr>
      <vt:lpstr>7. Gantt Chart</vt:lpstr>
      <vt:lpstr>8. Results</vt:lpstr>
      <vt:lpstr>9. List &amp; Calc</vt:lpstr>
      <vt:lpstr>10. Capability Matrix</vt:lpstr>
      <vt:lpstr>InitiativeNames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2025-12-08T19:55:05Z</dcterms:created>
  <dcterms:modified xsi:type="dcterms:W3CDTF">2025-12-08T19:55:12Z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24214e-5322-4789-8422-cbe411bc3a74_Enabled">
    <vt:lpwstr>true</vt:lpwstr>
  </property>
  <property fmtid="{D5CDD505-2E9C-101B-9397-08002B2CF9AE}" pid="3" name="MSIP_Label_7d24214e-5322-4789-8422-cbe411bc3a74_SetDate">
    <vt:lpwstr>2025-12-08T19:55:12Z</vt:lpwstr>
  </property>
  <property fmtid="{D5CDD505-2E9C-101B-9397-08002B2CF9AE}" pid="4" name="MSIP_Label_7d24214e-5322-4789-8422-cbe411bc3a74_Method">
    <vt:lpwstr>Standard</vt:lpwstr>
  </property>
  <property fmtid="{D5CDD505-2E9C-101B-9397-08002B2CF9AE}" pid="5" name="MSIP_Label_7d24214e-5322-4789-8422-cbe411bc3a74_Name">
    <vt:lpwstr>7d24214e-5322-4789-8422-cbe411bc3a74</vt:lpwstr>
  </property>
  <property fmtid="{D5CDD505-2E9C-101B-9397-08002B2CF9AE}" pid="6" name="MSIP_Label_7d24214e-5322-4789-8422-cbe411bc3a74_SiteId">
    <vt:lpwstr>113d1920-a1e0-48cf-a70a-868cbb03f3f6</vt:lpwstr>
  </property>
  <property fmtid="{D5CDD505-2E9C-101B-9397-08002B2CF9AE}" pid="7" name="MSIP_Label_7d24214e-5322-4789-8422-cbe411bc3a74_ActionId">
    <vt:lpwstr>65027211-ac12-4077-b3f1-602e1ba36c0d</vt:lpwstr>
  </property>
  <property fmtid="{D5CDD505-2E9C-101B-9397-08002B2CF9AE}" pid="8" name="MSIP_Label_7d24214e-5322-4789-8422-cbe411bc3a74_ContentBits">
    <vt:lpwstr>0</vt:lpwstr>
  </property>
  <property fmtid="{D5CDD505-2E9C-101B-9397-08002B2CF9AE}" pid="9" name="MSIP_Label_7d24214e-5322-4789-8422-cbe411bc3a74_Tag">
    <vt:lpwstr>10, 3, 0, 1</vt:lpwstr>
  </property>
</Properties>
</file>