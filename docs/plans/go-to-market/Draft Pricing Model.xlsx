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ngisalawinc.sharepoint.com/sites/NungisaLawInc/Shared Documents/NUNGISA LAW/NL - CLIENTS/CORPORATE/003.UE/"/>
    </mc:Choice>
  </mc:AlternateContent>
  <xr:revisionPtr revIDLastSave="0" documentId="8_{C21E0758-5D09-471D-9441-F960D8F2347D}" xr6:coauthVersionLast="47" xr6:coauthVersionMax="47" xr10:uidLastSave="{00000000-0000-0000-0000-000000000000}"/>
  <bookViews>
    <workbookView xWindow="-110" yWindow="-110" windowWidth="25180" windowHeight="16140" tabRatio="500" activeTab="1" xr2:uid="{00000000-000D-0000-FFFF-FFFF00000000}"/>
  </bookViews>
  <sheets>
    <sheet name="Overview" sheetId="1" r:id="rId1"/>
    <sheet name="Assumptions" sheetId="2" r:id="rId2"/>
    <sheet name="Tier Pricing" sheetId="3" r:id="rId3"/>
    <sheet name="Regional Deploy" sheetId="4" r:id="rId4"/>
    <sheet name="Revenue Model" sheetId="5" r:id="rId5"/>
    <sheet name="Breakeve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6" l="1"/>
  <c r="E11" i="6"/>
  <c r="D11" i="6"/>
  <c r="C11" i="6"/>
  <c r="F8" i="6"/>
  <c r="E8" i="6"/>
  <c r="D8" i="6"/>
  <c r="C8" i="6"/>
  <c r="E34" i="5"/>
  <c r="D34" i="5"/>
  <c r="C34" i="5"/>
  <c r="E33" i="5"/>
  <c r="D33" i="5"/>
  <c r="C33" i="5"/>
  <c r="E26" i="5"/>
  <c r="D26" i="5"/>
  <c r="C26" i="5"/>
  <c r="C25" i="5"/>
  <c r="C11" i="5"/>
  <c r="C17" i="4"/>
  <c r="F16" i="4"/>
  <c r="E16" i="4"/>
  <c r="H16" i="4" s="1"/>
  <c r="D16" i="4"/>
  <c r="G16" i="4" s="1"/>
  <c r="F15" i="4"/>
  <c r="H15" i="4" s="1"/>
  <c r="E15" i="4"/>
  <c r="D15" i="4"/>
  <c r="G15" i="4" s="1"/>
  <c r="H14" i="4"/>
  <c r="F14" i="4"/>
  <c r="E14" i="4"/>
  <c r="D14" i="4"/>
  <c r="G14" i="4" s="1"/>
  <c r="H13" i="4"/>
  <c r="F13" i="4"/>
  <c r="E13" i="4"/>
  <c r="D13" i="4"/>
  <c r="G13" i="4" s="1"/>
  <c r="F12" i="4"/>
  <c r="E12" i="4"/>
  <c r="H12" i="4" s="1"/>
  <c r="D12" i="4"/>
  <c r="G11" i="4"/>
  <c r="F11" i="4"/>
  <c r="E11" i="4"/>
  <c r="H11" i="4" s="1"/>
  <c r="D11" i="4"/>
  <c r="G10" i="4"/>
  <c r="F10" i="4"/>
  <c r="E10" i="4"/>
  <c r="H10" i="4" s="1"/>
  <c r="D10" i="4"/>
  <c r="F9" i="4"/>
  <c r="E9" i="4"/>
  <c r="H9" i="4" s="1"/>
  <c r="D9" i="4"/>
  <c r="G9" i="4" s="1"/>
  <c r="F8" i="4"/>
  <c r="E8" i="4"/>
  <c r="H8" i="4" s="1"/>
  <c r="D8" i="4"/>
  <c r="G8" i="4" s="1"/>
  <c r="F7" i="4"/>
  <c r="H7" i="4" s="1"/>
  <c r="E7" i="4"/>
  <c r="D7" i="4"/>
  <c r="G7" i="4" s="1"/>
  <c r="H6" i="4"/>
  <c r="C22" i="4" s="1"/>
  <c r="F6" i="4"/>
  <c r="F17" i="4" s="1"/>
  <c r="E6" i="4"/>
  <c r="E17" i="4" s="1"/>
  <c r="D6" i="4"/>
  <c r="C21" i="4" s="1"/>
  <c r="C26" i="3"/>
  <c r="C25" i="3"/>
  <c r="H20" i="3"/>
  <c r="H19" i="3"/>
  <c r="D19" i="3"/>
  <c r="H18" i="3"/>
  <c r="D18" i="3"/>
  <c r="H17" i="3"/>
  <c r="D17" i="3"/>
  <c r="H16" i="3"/>
  <c r="D16" i="3"/>
  <c r="H15" i="3"/>
  <c r="F9" i="3"/>
  <c r="G17" i="3" s="1"/>
  <c r="E9" i="3"/>
  <c r="F28" i="6" s="1"/>
  <c r="F8" i="3"/>
  <c r="F19" i="3" s="1"/>
  <c r="E8" i="3"/>
  <c r="E25" i="6" s="1"/>
  <c r="F7" i="3"/>
  <c r="E17" i="3" s="1"/>
  <c r="E7" i="3"/>
  <c r="D30" i="6" s="1"/>
  <c r="F6" i="3"/>
  <c r="D20" i="3" s="1"/>
  <c r="E6" i="3"/>
  <c r="C27" i="6" s="1"/>
  <c r="C17" i="2"/>
  <c r="G31" i="6" s="1"/>
  <c r="C27" i="5" l="1"/>
  <c r="F10" i="6"/>
  <c r="E22" i="6"/>
  <c r="C24" i="6"/>
  <c r="F25" i="6"/>
  <c r="D27" i="6"/>
  <c r="G28" i="6"/>
  <c r="E30" i="6"/>
  <c r="F16" i="3"/>
  <c r="D22" i="5"/>
  <c r="D15" i="3"/>
  <c r="G16" i="3"/>
  <c r="E18" i="3"/>
  <c r="D17" i="4"/>
  <c r="E22" i="5"/>
  <c r="C7" i="6"/>
  <c r="C9" i="6" s="1"/>
  <c r="C21" i="6"/>
  <c r="F22" i="6"/>
  <c r="D24" i="6"/>
  <c r="G25" i="6"/>
  <c r="E27" i="6"/>
  <c r="C29" i="6"/>
  <c r="F30" i="6"/>
  <c r="G19" i="3"/>
  <c r="E15" i="3"/>
  <c r="F18" i="3"/>
  <c r="G12" i="4"/>
  <c r="D11" i="5"/>
  <c r="C23" i="5"/>
  <c r="D7" i="6"/>
  <c r="D9" i="6" s="1"/>
  <c r="D21" i="6"/>
  <c r="G22" i="6"/>
  <c r="E24" i="6"/>
  <c r="C26" i="6"/>
  <c r="F27" i="6"/>
  <c r="D29" i="6"/>
  <c r="G30" i="6"/>
  <c r="E7" i="6"/>
  <c r="E9" i="6" s="1"/>
  <c r="E21" i="6"/>
  <c r="C23" i="6"/>
  <c r="F24" i="6"/>
  <c r="D26" i="6"/>
  <c r="G27" i="6"/>
  <c r="E29" i="6"/>
  <c r="C31" i="6"/>
  <c r="F15" i="3"/>
  <c r="G18" i="3"/>
  <c r="E20" i="3"/>
  <c r="D23" i="5"/>
  <c r="G15" i="3"/>
  <c r="F20" i="3"/>
  <c r="G6" i="4"/>
  <c r="G17" i="4" s="1"/>
  <c r="C21" i="5"/>
  <c r="E23" i="5"/>
  <c r="C32" i="5"/>
  <c r="F7" i="6"/>
  <c r="F9" i="6" s="1"/>
  <c r="F21" i="6"/>
  <c r="D23" i="6"/>
  <c r="G24" i="6"/>
  <c r="E26" i="6"/>
  <c r="C28" i="6"/>
  <c r="F29" i="6"/>
  <c r="D31" i="6"/>
  <c r="H17" i="4"/>
  <c r="D21" i="5"/>
  <c r="C24" i="5"/>
  <c r="D32" i="5"/>
  <c r="C10" i="6"/>
  <c r="G21" i="6"/>
  <c r="E23" i="6"/>
  <c r="C25" i="6"/>
  <c r="F26" i="6"/>
  <c r="D28" i="6"/>
  <c r="G29" i="6"/>
  <c r="E31" i="6"/>
  <c r="E21" i="5"/>
  <c r="D24" i="5"/>
  <c r="E32" i="5"/>
  <c r="D10" i="6"/>
  <c r="C22" i="6"/>
  <c r="F23" i="6"/>
  <c r="D25" i="6"/>
  <c r="G26" i="6"/>
  <c r="E28" i="6"/>
  <c r="C30" i="6"/>
  <c r="F31" i="6"/>
  <c r="F17" i="3"/>
  <c r="G20" i="3"/>
  <c r="E19" i="3"/>
  <c r="E16" i="3"/>
  <c r="C22" i="5"/>
  <c r="E24" i="5"/>
  <c r="E10" i="6"/>
  <c r="D22" i="6"/>
  <c r="G23" i="6"/>
  <c r="D35" i="5" l="1"/>
  <c r="F14" i="6"/>
  <c r="F15" i="6"/>
  <c r="F13" i="6"/>
  <c r="C15" i="6"/>
  <c r="C13" i="6"/>
  <c r="C14" i="6"/>
  <c r="E15" i="6"/>
  <c r="E13" i="6"/>
  <c r="E14" i="6"/>
  <c r="D15" i="6"/>
  <c r="D13" i="6"/>
  <c r="D14" i="6"/>
  <c r="C28" i="5"/>
  <c r="D27" i="5"/>
  <c r="E11" i="5"/>
  <c r="D25" i="5"/>
  <c r="D28" i="5" s="1"/>
  <c r="C35" i="5"/>
  <c r="C36" i="5" s="1"/>
  <c r="C23" i="4"/>
  <c r="D36" i="5"/>
  <c r="D38" i="5" l="1"/>
  <c r="D39" i="5" s="1"/>
  <c r="E25" i="5"/>
  <c r="E27" i="5"/>
  <c r="C38" i="5"/>
  <c r="C39" i="5" s="1"/>
  <c r="E35" i="5"/>
  <c r="E36" i="5" s="1"/>
  <c r="E28" i="5" l="1"/>
  <c r="E38" i="5" l="1"/>
  <c r="E39" i="5"/>
</calcChain>
</file>

<file path=xl/sharedStrings.xml><?xml version="1.0" encoding="utf-8"?>
<sst xmlns="http://schemas.openxmlformats.org/spreadsheetml/2006/main" count="246" uniqueCount="209">
  <si>
    <t>Union App — Pricing Model</t>
  </si>
  <si>
    <t>Prepared for:</t>
  </si>
  <si>
    <t>CUPE / PSAC National Unions</t>
  </si>
  <si>
    <t>Prepared by:</t>
  </si>
  <si>
    <t>Nungisa Law</t>
  </si>
  <si>
    <t>Date:</t>
  </si>
  <si>
    <t>April 02, 2026</t>
  </si>
  <si>
    <t>Currency:</t>
  </si>
  <si>
    <t>CAD ($)</t>
  </si>
  <si>
    <t>Model Structure</t>
  </si>
  <si>
    <t>This model prices a national union app license with per-member tiered pricing, regional deployment add-ons, implementation fees, and a full breakeven analysis. All blue-text cells are editable inputs — change them to run scenarios.</t>
  </si>
  <si>
    <t>Sheet Index</t>
  </si>
  <si>
    <t>Sheet</t>
  </si>
  <si>
    <t>Description</t>
  </si>
  <si>
    <t>Assumptions</t>
  </si>
  <si>
    <t>All input assumptions (costs, margins, growth)</t>
  </si>
  <si>
    <t>Tier Pricing</t>
  </si>
  <si>
    <t>Per-member pricing across 4 tiers and member bands</t>
  </si>
  <si>
    <t>Regional Deploy</t>
  </si>
  <si>
    <t>Per-region deployment costs and add-ons</t>
  </si>
  <si>
    <t>Revenue Model</t>
  </si>
  <si>
    <t>3-year revenue projection by customer scenario</t>
  </si>
  <si>
    <t>Breakeven</t>
  </si>
  <si>
    <t>Fixed/variable cost breakeven analysis with chart</t>
  </si>
  <si>
    <t>Note: Blue text = editable inputs. Black text = formulas. Green text = cross-sheet links.</t>
  </si>
  <si>
    <t>Generated: 2026-04-02</t>
  </si>
  <si>
    <t>Input Assumptions</t>
  </si>
  <si>
    <t>Cost Structure (Annual)</t>
  </si>
  <si>
    <t>Item</t>
  </si>
  <si>
    <t>Value</t>
  </si>
  <si>
    <t>Unit</t>
  </si>
  <si>
    <t>Notes</t>
  </si>
  <si>
    <t>Cloud Hosting (base)</t>
  </si>
  <si>
    <t>$/yr</t>
  </si>
  <si>
    <t>AWS/Azure base infrastructure</t>
  </si>
  <si>
    <t>Cloud Hosting (per 1k members)</t>
  </si>
  <si>
    <t>$/yr/1k</t>
  </si>
  <si>
    <t>Scales with member count</t>
  </si>
  <si>
    <t>Engineering Team (salaries)</t>
  </si>
  <si>
    <t>4 FTE engineers avg $120k</t>
  </si>
  <si>
    <t>Product &amp; Design</t>
  </si>
  <si>
    <t>PM + UX designer</t>
  </si>
  <si>
    <t>Customer Success / Support</t>
  </si>
  <si>
    <t>2 FTE support staff</t>
  </si>
  <si>
    <t>Sales &amp; Marketing</t>
  </si>
  <si>
    <t>1 FTE + campaigns</t>
  </si>
  <si>
    <t>Legal &amp; Compliance</t>
  </si>
  <si>
    <t>Privacy, labour law</t>
  </si>
  <si>
    <t>Admin &amp; Overhead</t>
  </si>
  <si>
    <t>Office, tools, insurance</t>
  </si>
  <si>
    <t>Implementation Cost (per region)</t>
  </si>
  <si>
    <t>$/region</t>
  </si>
  <si>
    <t>Setup, migration, training</t>
  </si>
  <si>
    <t>Per-Member Variable Cost</t>
  </si>
  <si>
    <t>$/member/mo</t>
  </si>
  <si>
    <t>Compute, storage, support load</t>
  </si>
  <si>
    <t>Total Fixed Costs (Annual)</t>
  </si>
  <si>
    <t>Pricing Assumptions</t>
  </si>
  <si>
    <t>Parameter</t>
  </si>
  <si>
    <t>Target Gross Margin</t>
  </si>
  <si>
    <t>%</t>
  </si>
  <si>
    <t>Industry standard B2B SaaS: 70-80%</t>
  </si>
  <si>
    <t>National License Base Fee</t>
  </si>
  <si>
    <t>Minimum annual platform fee</t>
  </si>
  <si>
    <t>Implementation Fee (per region)</t>
  </si>
  <si>
    <t>One-time setup + migration</t>
  </si>
  <si>
    <t>Annual Price Escalator</t>
  </si>
  <si>
    <t>%/yr</t>
  </si>
  <si>
    <t>Built into multi-year contracts</t>
  </si>
  <si>
    <t>Discount for 3-Year Contract</t>
  </si>
  <si>
    <t>Incentivize long-term commitment</t>
  </si>
  <si>
    <t>Discount for 50k+ Members</t>
  </si>
  <si>
    <t>Volume discount for large unions</t>
  </si>
  <si>
    <t>Market Sizing</t>
  </si>
  <si>
    <t>CUPE Members (approx)</t>
  </si>
  <si>
    <t>members</t>
  </si>
  <si>
    <t>Largest Canadian union</t>
  </si>
  <si>
    <t>PSAC Members (approx)</t>
  </si>
  <si>
    <t>Federal public service</t>
  </si>
  <si>
    <t>Total CLC-Affiliated Members</t>
  </si>
  <si>
    <t>Canadian Labour Congress</t>
  </si>
  <si>
    <t>Addressable Market (Year 1)</t>
  </si>
  <si>
    <t>% of CLC membership targeted</t>
  </si>
  <si>
    <t>Addressable Market (Year 2)</t>
  </si>
  <si>
    <t>Growing adoption</t>
  </si>
  <si>
    <t>Addressable Market (Year 3)</t>
  </si>
  <si>
    <t>Maturation phase</t>
  </si>
  <si>
    <t>Per-Member Tier Pricing Matrix</t>
  </si>
  <si>
    <t>Tier Definitions</t>
  </si>
  <si>
    <t>Tier</t>
  </si>
  <si>
    <t>Member Band</t>
  </si>
  <si>
    <t>Per-Member / Mo</t>
  </si>
  <si>
    <t>Per-Member / Yr</t>
  </si>
  <si>
    <t>National Base Fee</t>
  </si>
  <si>
    <t>Features Included</t>
  </si>
  <si>
    <t>Starter</t>
  </si>
  <si>
    <t>200 - 2,000</t>
  </si>
  <si>
    <t>Core: grievances, membership, dues, basic reports</t>
  </si>
  <si>
    <t>Professional</t>
  </si>
  <si>
    <t>2,001 - 15,000</t>
  </si>
  <si>
    <t>All Starter + comms, scheduling, doc storage, analytics</t>
  </si>
  <si>
    <t>Premium</t>
  </si>
  <si>
    <t>15,001 - 50,000</t>
  </si>
  <si>
    <t>All Pro + advanced analytics, API, custom workflows, voting</t>
  </si>
  <si>
    <t>Enterprise</t>
  </si>
  <si>
    <t>50,001 - 100,000+</t>
  </si>
  <si>
    <t>All Premium + dedicated support, SLA, custom dev, white-label</t>
  </si>
  <si>
    <t>Annual Revenue Calculator</t>
  </si>
  <si>
    <t>Enter a member count below to see annual revenue for each tier (base fee + per-member).</t>
  </si>
  <si>
    <t>Scenario</t>
  </si>
  <si>
    <t>Members</t>
  </si>
  <si>
    <t>Impl. Fee (10 regions)</t>
  </si>
  <si>
    <t>Small Local</t>
  </si>
  <si>
    <t>Mid Local</t>
  </si>
  <si>
    <t>Regional</t>
  </si>
  <si>
    <t>Mid National</t>
  </si>
  <si>
    <t>Large National (PSAC-size)</t>
  </si>
  <si>
    <t>Mega National (CUPE-size)</t>
  </si>
  <si>
    <t>Available Discounts</t>
  </si>
  <si>
    <t>Discount Type</t>
  </si>
  <si>
    <t>Rate</t>
  </si>
  <si>
    <t>Condition</t>
  </si>
  <si>
    <t>3-Year Contract Lock-in</t>
  </si>
  <si>
    <t>Committed multi-year agreement</t>
  </si>
  <si>
    <t>Volume (50k+ Members)</t>
  </si>
  <si>
    <t>Applied on per-member rate only</t>
  </si>
  <si>
    <t>Early Adopter (Year 1)</t>
  </si>
  <si>
    <t>First 3 national unions to sign</t>
  </si>
  <si>
    <t>Per-Region Deployment Model</t>
  </si>
  <si>
    <t>Canadian Regional Breakdown</t>
  </si>
  <si>
    <t>Province / Region</t>
  </si>
  <si>
    <t>Est. Locals</t>
  </si>
  <si>
    <t>Impl. Fee (One-Time)</t>
  </si>
  <si>
    <t>Annual Support</t>
  </si>
  <si>
    <t>Annual Hosting Add-On</t>
  </si>
  <si>
    <t>Total Year 1</t>
  </si>
  <si>
    <t>Total Year 2+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</si>
  <si>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</si>
  <si>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</si>
  <si>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</si>
  <si>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</si>
  <si>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</si>
  <si>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</si>
  <si>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</si>
  <si>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</si>
  <si>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Prince Edward Island</t>
  </si>
  <si>
    <t>Newfoundland &amp; Labrador</t>
  </si>
  <si>
    <t>Northern Territories</t>
  </si>
  <si>
    <t>TOTAL (All Regions)</t>
  </si>
  <si>
    <t>Deployment Cost Summary</t>
  </si>
  <si>
    <t>Total One-Time Implementation</t>
  </si>
  <si>
    <t>Total Annual Recurring (per region)</t>
  </si>
  <si>
    <t>Avg. Cost per Region (Year 1)</t>
  </si>
  <si>
    <t>3-Year Revenue Projection</t>
  </si>
  <si>
    <t>Customer Acquisition Scenarios</t>
  </si>
  <si>
    <t>Year 1</t>
  </si>
  <si>
    <t>Year 2</t>
  </si>
  <si>
    <t>Year 3</t>
  </si>
  <si>
    <t>National Union Clients</t>
  </si>
  <si>
    <t>New Enterprise Clients (50k+)</t>
  </si>
  <si>
    <t>New Premium Clients (15k-50k)</t>
  </si>
  <si>
    <t>New Professional Clients (2k-15k)</t>
  </si>
  <si>
    <t>New Starter Clients (&lt;2k)</t>
  </si>
  <si>
    <t>Cumulative Clients</t>
  </si>
  <si>
    <t>Average Members per Tier</t>
  </si>
  <si>
    <t>Avg. Enterprise Members</t>
  </si>
  <si>
    <t>Avg. Premium Members</t>
  </si>
  <si>
    <t>Avg. Professional Members</t>
  </si>
  <si>
    <t>Avg. Starter Members</t>
  </si>
  <si>
    <t>Revenue Breakdown (CAD)</t>
  </si>
  <si>
    <t>Revenue Stream</t>
  </si>
  <si>
    <t>Enterprise Per-Member Revenue</t>
  </si>
  <si>
    <t>Premium Per-Member Revenue</t>
  </si>
  <si>
    <t>Professional Per-Member Revenue</t>
  </si>
  <si>
    <t>Starter Per-Member Revenue</t>
  </si>
  <si>
    <t>National License Base Fees</t>
  </si>
  <si>
    <t>Implementation Fees (One-Time)</t>
  </si>
  <si>
    <t>Regional Deployment Revenue</t>
  </si>
  <si>
    <t>TOTAL REVENUE</t>
  </si>
  <si>
    <t>Cost Breakdown (CAD)</t>
  </si>
  <si>
    <t>Cost Item</t>
  </si>
  <si>
    <t>Fixed Costs (from Assumptions)</t>
  </si>
  <si>
    <t>Variable Costs (Per-Member)</t>
  </si>
  <si>
    <t>Implementation Costs</t>
  </si>
  <si>
    <t>Regional Deployment Costs</t>
  </si>
  <si>
    <t>TOTAL COSTS</t>
  </si>
  <si>
    <t>NET PROFIT / (LOSS)</t>
  </si>
  <si>
    <t>Gross Margin</t>
  </si>
  <si>
    <t>Breakeven Analysis</t>
  </si>
  <si>
    <t>Breakeven by Member Count</t>
  </si>
  <si>
    <t>Calculates the minimum number of members needed to cover all fixed + variable costs at each tier's pricing.</t>
  </si>
  <si>
    <t>Metric</t>
  </si>
  <si>
    <t>Annual Per-Member Price</t>
  </si>
  <si>
    <t>Annual Variable Cost / Member</t>
  </si>
  <si>
    <t>Contribution Margin / Member</t>
  </si>
  <si>
    <t>Total Annual Fixed Costs</t>
  </si>
  <si>
    <t>National Base Fee (per client)</t>
  </si>
  <si>
    <t>BREAKEVEN MEMBERS (1 Client)</t>
  </si>
  <si>
    <t>Breakeven with 3 Clients</t>
  </si>
  <si>
    <t>Breakeven with 5 Clients</t>
  </si>
  <si>
    <t>Revenue Sensitivity (Annual, per Client)</t>
  </si>
  <si>
    <t>Shows annual revenue at various member counts for each tier — use to identify sweet spots.</t>
  </si>
  <si>
    <t>Starter Rev</t>
  </si>
  <si>
    <t>Professional Rev</t>
  </si>
  <si>
    <t>Premium Rev</t>
  </si>
  <si>
    <t>Enterprise Rev</t>
  </si>
  <si>
    <t>Avg. Cost</t>
  </si>
  <si>
    <t>Note: Breakeven assumes all fixed costs must be covered by per-member revenue after subtracting base fees. With more clients sharing fixed costs, per-client breakeven drops significantly.</t>
  </si>
  <si>
    <t>Model generated: 2026-04-02 | All values in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</si>
</sst>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\$#,##0;&quot;($&quot;#,##0\);\-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1"/>
      <color rgb="FF333333"/>
      <name val="Calibri"/>
      <charset val="1"/>
    </font>
    <font>
      <sz val="11"/>
      <color rgb="FF000000"/>
      <name val="Calibri"/>
      <charset val="1"/>
    </font>
    <font>
      <b/>
      <sz val="13"/>
      <color rgb="FF01696F"/>
      <name val="Calibri"/>
      <charset val="1"/>
    </font>
    <font>
      <i/>
      <sz val="10"/>
      <color rgb="FF7A7974"/>
      <name val="Calibri"/>
      <charset val="1"/>
    </font>
    <font>
      <b/>
      <sz val="11"/>
      <color rgb="FFFFFFFF"/>
      <name val="Calibri"/>
      <charset val="1"/>
    </font>
    <font>
      <u/>
      <sz val="11"/>
      <color rgb="FF0000FF"/>
      <name val="Calibri"/>
      <charset val="1"/>
    </font>
    <font>
      <sz val="9"/>
      <color rgb="FF7A7974"/>
      <name val="Calibri"/>
      <charset val="1"/>
    </font>
    <font>
      <b/>
      <sz val="11"/>
      <color rgb="FF000000"/>
      <name val="Calibri"/>
      <charset val="1"/>
    </font>
    <font>
      <sz val="11"/>
      <color rgb="FF0000FF"/>
      <name val="Calibri"/>
      <charset val="1"/>
    </font>
    <font>
      <b/>
      <sz val="11"/>
      <color rgb="FF0000FF"/>
      <name val="Calibri"/>
      <charset val="1"/>
    </font>
    <font>
      <sz val="11"/>
      <color rgb="FF008000"/>
      <name val="Calibri"/>
      <charset val="1"/>
    </font>
    <font>
      <b/>
      <sz val="12"/>
      <color rgb="FF000000"/>
      <name val="Calibri"/>
      <charset val="1"/>
    </font>
    <font>
      <b/>
      <sz val="12"/>
      <color rgb="FF944454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01696F"/>
        <bgColor rgb="FF006494"/>
      </patternFill>
    </fill>
    <fill>
      <patternFill patternType="solid">
        <fgColor rgb="FF0C4E54"/>
        <bgColor rgb="FF01696F"/>
      </patternFill>
    </fill>
    <fill>
      <patternFill patternType="solid">
        <fgColor rgb="FFFFFFF0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1696F"/>
      </bottom>
      <diagonal/>
    </border>
    <border>
      <left/>
      <right/>
      <top/>
      <bottom style="thin">
        <color rgb="FFD4D1CA"/>
      </bottom>
      <diagonal/>
    </border>
    <border>
      <left/>
      <right/>
      <top style="medium">
        <color rgb="FF01696F"/>
      </top>
      <bottom style="double">
        <color rgb="FF01696F"/>
      </bottom>
      <diagonal/>
    </border>
    <border>
      <left/>
      <right/>
      <top style="medium">
        <color rgb="FF944454"/>
      </top>
      <bottom style="double">
        <color rgb="FF94445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  <xf numFmtId="0" fontId="8" fillId="0" borderId="0" xfId="0" applyFont="1"/>
    <xf numFmtId="0" fontId="9" fillId="0" borderId="2" xfId="0" applyFont="1" applyBorder="1" applyAlignment="1">
      <alignment horizontal="left" vertical="center" indent="1"/>
    </xf>
    <xf numFmtId="164" fontId="10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 indent="1"/>
    </xf>
    <xf numFmtId="165" fontId="10" fillId="4" borderId="2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indent="1"/>
    </xf>
    <xf numFmtId="164" fontId="9" fillId="0" borderId="3" xfId="0" applyNumberFormat="1" applyFont="1" applyBorder="1" applyAlignment="1">
      <alignment horizontal="right" vertical="center"/>
    </xf>
    <xf numFmtId="166" fontId="10" fillId="4" borderId="2" xfId="0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1" fillId="4" borderId="2" xfId="0" applyNumberFormat="1" applyFont="1" applyFill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12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6" fontId="12" fillId="0" borderId="2" xfId="0" applyNumberFormat="1" applyFont="1" applyBorder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 indent="1"/>
    </xf>
    <xf numFmtId="3" fontId="9" fillId="0" borderId="3" xfId="0" applyNumberFormat="1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10" fillId="4" borderId="2" xfId="0" applyFont="1" applyFill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167" fontId="13" fillId="0" borderId="3" xfId="0" applyNumberFormat="1" applyFont="1" applyBorder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165" fontId="9" fillId="0" borderId="2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3" fontId="14" fillId="0" borderId="4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font>
        <b/>
        <color rgb="FF008000"/>
      </font>
    </dxf>
    <dxf>
      <font>
        <b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944454"/>
      <rgbColor rgb="FFFFFFF0"/>
      <rgbColor rgb="FFF9F9F9"/>
      <rgbColor rgb="FF660066"/>
      <rgbColor rgb="FFFF8080"/>
      <rgbColor rgb="FF006494"/>
      <rgbColor rgb="FFD9D9D9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C0504D"/>
      <rgbColor rgb="FF7A7974"/>
      <rgbColor rgb="FF969696"/>
      <rgbColor rgb="FF0C4E54"/>
      <rgbColor rgb="FF4F81BD"/>
      <rgbColor rgb="FF003300"/>
      <rgbColor rgb="FF333300"/>
      <rgbColor rgb="FFA84B2F"/>
      <rgbColor rgb="FFBE4B48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vs. Costs (3-Year)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'Revenue Model'!$C$5:$E$5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'Revenue Model'!$C$28:$E$28</c:f>
              <c:numCache>
                <c:formatCode>\$#,##0</c:formatCode>
                <c:ptCount val="3"/>
                <c:pt idx="0">
                  <c:v>8636600</c:v>
                </c:pt>
                <c:pt idx="1">
                  <c:v>19825618</c:v>
                </c:pt>
                <c:pt idx="2">
                  <c:v>37964070.020000003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B-4589-A73E-125FDFD74176}"/>
            </c:ext>
          </c:extLst>
        </c:ser>
        <c:ser>
          <c:idx val="1"/>
          <c:order val="1"/>
          <c:tx>
            <c:v>Total Costs</c:v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'Revenue Model'!$C$5:$E$5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'Revenue Model'!$C$36:$E$36</c:f>
              <c:numCache>
                <c:formatCode>\$#,##0</c:formatCode>
                <c:ptCount val="3"/>
                <c:pt idx="0">
                  <c:v>1650675</c:v>
                </c:pt>
                <c:pt idx="1">
                  <c:v>3068600</c:v>
                </c:pt>
                <c:pt idx="2">
                  <c:v>4603100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B-4589-A73E-125FDFD74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814373"/>
        <c:axId val="74692285"/>
      </c:barChart>
      <c:catAx>
        <c:axId val="468143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4692285"/>
        <c:crosses val="autoZero"/>
        <c:auto val="1"/>
        <c:lblAlgn val="ctr"/>
        <c:lblOffset val="100"/>
        <c:noMultiLvlLbl val="0"/>
      </c:catAx>
      <c:valAx>
        <c:axId val="74692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68143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vs. Cost by Member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Breakeven!$E$20</c:f>
              <c:strCache>
                <c:ptCount val="1"/>
                <c:pt idx="0">
                  <c:v>Premium Rev</c:v>
                </c:pt>
              </c:strCache>
            </c:strRef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Breakeven!$B$21:$B$31</c:f>
              <c:numCache>
                <c:formatCode>#,##0</c:formatCode>
                <c:ptCount val="11"/>
                <c:pt idx="0">
                  <c:v>200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  <c:pt idx="7">
                  <c:v>25000</c:v>
                </c:pt>
                <c:pt idx="8">
                  <c:v>50000</c:v>
                </c:pt>
                <c:pt idx="9">
                  <c:v>75000</c:v>
                </c:pt>
                <c:pt idx="10">
                  <c:v>100000</c:v>
                </c:pt>
              </c:numCache>
            </c:numRef>
          </c:cat>
          <c:val>
            <c:numRef>
              <c:f>Breakeven!$E$21:$E$31</c:f>
              <c:numCache>
                <c:formatCode>\$#,##0</c:formatCode>
                <c:ptCount val="11"/>
                <c:pt idx="0">
                  <c:v>32080</c:v>
                </c:pt>
                <c:pt idx="1">
                  <c:v>42700</c:v>
                </c:pt>
                <c:pt idx="2">
                  <c:v>60400.000000000007</c:v>
                </c:pt>
                <c:pt idx="3">
                  <c:v>95800.000000000015</c:v>
                </c:pt>
                <c:pt idx="4">
                  <c:v>202000.00000000003</c:v>
                </c:pt>
                <c:pt idx="5">
                  <c:v>379000.00000000006</c:v>
                </c:pt>
                <c:pt idx="6">
                  <c:v>556000.00000000012</c:v>
                </c:pt>
                <c:pt idx="7">
                  <c:v>910000.00000000012</c:v>
                </c:pt>
                <c:pt idx="8">
                  <c:v>1795000.0000000002</c:v>
                </c:pt>
                <c:pt idx="9">
                  <c:v>2680000.0000000005</c:v>
                </c:pt>
                <c:pt idx="10">
                  <c:v>3565000.0000000005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BD-4B9D-8F41-77097538C0EC}"/>
            </c:ext>
          </c:extLst>
        </c:ser>
        <c:ser>
          <c:idx val="1"/>
          <c:order val="1"/>
          <c:tx>
            <c:strRef>
              <c:f>Breakeven!$F$20</c:f>
              <c:strCache>
                <c:ptCount val="1"/>
                <c:pt idx="0">
                  <c:v>Enterprise Rev</c:v>
                </c:pt>
              </c:strCache>
            </c:strRef>
          </c:tx>
          <c:spPr>
            <a:ln w="24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Breakeven!$B$21:$B$31</c:f>
              <c:numCache>
                <c:formatCode>#,##0</c:formatCode>
                <c:ptCount val="11"/>
                <c:pt idx="0">
                  <c:v>200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  <c:pt idx="7">
                  <c:v>25000</c:v>
                </c:pt>
                <c:pt idx="8">
                  <c:v>50000</c:v>
                </c:pt>
                <c:pt idx="9">
                  <c:v>75000</c:v>
                </c:pt>
                <c:pt idx="10">
                  <c:v>100000</c:v>
                </c:pt>
              </c:numCache>
            </c:numRef>
          </c:cat>
          <c:val>
            <c:numRef>
              <c:f>Breakeven!$F$21:$F$31</c:f>
              <c:numCache>
                <c:formatCode>\$#,##0</c:formatCode>
                <c:ptCount val="11"/>
                <c:pt idx="0">
                  <c:v>30400</c:v>
                </c:pt>
                <c:pt idx="1">
                  <c:v>38500</c:v>
                </c:pt>
                <c:pt idx="2">
                  <c:v>52000</c:v>
                </c:pt>
                <c:pt idx="3">
                  <c:v>79000</c:v>
                </c:pt>
                <c:pt idx="4">
                  <c:v>160000</c:v>
                </c:pt>
                <c:pt idx="5">
                  <c:v>295000</c:v>
                </c:pt>
                <c:pt idx="6">
                  <c:v>430000</c:v>
                </c:pt>
                <c:pt idx="7">
                  <c:v>700000</c:v>
                </c:pt>
                <c:pt idx="8">
                  <c:v>1375000</c:v>
                </c:pt>
                <c:pt idx="9">
                  <c:v>2050000</c:v>
                </c:pt>
                <c:pt idx="10">
                  <c:v>2725000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BD-4B9D-8F41-77097538C0EC}"/>
            </c:ext>
          </c:extLst>
        </c:ser>
        <c:ser>
          <c:idx val="2"/>
          <c:order val="2"/>
          <c:tx>
            <c:strRef>
              <c:f>Breakeven!$G$20</c:f>
              <c:strCache>
                <c:ptCount val="1"/>
                <c:pt idx="0">
                  <c:v>Avg. Cost</c:v>
                </c:pt>
              </c:strCache>
            </c:strRef>
          </c:tx>
          <c:spPr>
            <a:ln w="2484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Breakeven!$B$21:$B$31</c:f>
              <c:numCache>
                <c:formatCode>#,##0</c:formatCode>
                <c:ptCount val="11"/>
                <c:pt idx="0">
                  <c:v>200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  <c:pt idx="7">
                  <c:v>25000</c:v>
                </c:pt>
                <c:pt idx="8">
                  <c:v>50000</c:v>
                </c:pt>
                <c:pt idx="9">
                  <c:v>75000</c:v>
                </c:pt>
                <c:pt idx="10">
                  <c:v>100000</c:v>
                </c:pt>
              </c:numCache>
            </c:numRef>
          </c:cat>
          <c:val>
            <c:numRef>
              <c:f>Breakeven!$G$21:$G$31</c:f>
              <c:numCache>
                <c:formatCode>\$#,##0</c:formatCode>
                <c:ptCount val="11"/>
                <c:pt idx="0">
                  <c:v>326360</c:v>
                </c:pt>
                <c:pt idx="1">
                  <c:v>326900</c:v>
                </c:pt>
                <c:pt idx="2">
                  <c:v>327800</c:v>
                </c:pt>
                <c:pt idx="3">
                  <c:v>329600</c:v>
                </c:pt>
                <c:pt idx="4">
                  <c:v>335000</c:v>
                </c:pt>
                <c:pt idx="5">
                  <c:v>344000</c:v>
                </c:pt>
                <c:pt idx="6">
                  <c:v>353000</c:v>
                </c:pt>
                <c:pt idx="7">
                  <c:v>371000</c:v>
                </c:pt>
                <c:pt idx="8">
                  <c:v>416000</c:v>
                </c:pt>
                <c:pt idx="9">
                  <c:v>461000</c:v>
                </c:pt>
                <c:pt idx="10">
                  <c:v>506000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7BD-4B9D-8F41-77097538C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814018"/>
        <c:axId val="76048757"/>
      </c:lineChart>
      <c:catAx>
        <c:axId val="408140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Member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048757"/>
        <c:crosses val="autoZero"/>
        <c:auto val="1"/>
        <c:lblAlgn val="ctr"/>
        <c:lblOffset val="100"/>
        <c:noMultiLvlLbl val="0"/>
      </c:catAx>
      <c:valAx>
        <c:axId val="76048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Annual Revenue / Cost (CAD)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0814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5</xdr:col>
      <xdr:colOff>135720</xdr:colOff>
      <xdr:row>63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5</xdr:col>
      <xdr:colOff>855720</xdr:colOff>
      <xdr:row>55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696F"/>
  </sheetPr>
  <dimension ref="B2:F22"/>
  <sheetViews>
    <sheetView zoomScaleNormal="100" workbookViewId="0"/>
  </sheetViews>
  <sheetFormatPr defaultColWidth="8.6328125" defaultRowHeight="15" customHeight="1" x14ac:dyDescent="0.35"/>
  <cols>
    <col min="1" max="1" width="3" customWidth="1"/>
    <col min="2" max="2" width="35" customWidth="1"/>
    <col min="3" max="5" width="25" customWidth="1"/>
    <col min="6" max="6" width="20" customWidth="1"/>
  </cols>
  <sheetData>
    <row r="2" spans="2:6" ht="36" customHeight="1" x14ac:dyDescent="0.35">
      <c r="B2" s="6" t="s">
        <v>0</v>
      </c>
      <c r="C2" s="6"/>
      <c r="D2" s="6"/>
      <c r="E2" s="6"/>
      <c r="F2" s="6"/>
    </row>
    <row r="4" spans="2:6" ht="14.5" x14ac:dyDescent="0.35">
      <c r="B4" s="7" t="s">
        <v>1</v>
      </c>
      <c r="C4" s="8" t="s">
        <v>2</v>
      </c>
    </row>
    <row r="5" spans="2:6" ht="14.5" x14ac:dyDescent="0.35">
      <c r="B5" s="7" t="s">
        <v>3</v>
      </c>
      <c r="C5" s="8" t="s">
        <v>4</v>
      </c>
    </row>
    <row r="6" spans="2:6" ht="14.5" x14ac:dyDescent="0.35">
      <c r="B6" s="7" t="s">
        <v>5</v>
      </c>
      <c r="C6" s="8" t="s">
        <v>6</v>
      </c>
    </row>
    <row r="7" spans="2:6" ht="14.5" x14ac:dyDescent="0.35">
      <c r="B7" s="7" t="s">
        <v>7</v>
      </c>
      <c r="C7" s="8" t="s">
        <v>8</v>
      </c>
    </row>
    <row r="9" spans="2:6" ht="24" customHeight="1" x14ac:dyDescent="0.35">
      <c r="B9" s="5" t="s">
        <v>9</v>
      </c>
      <c r="C9" s="5"/>
      <c r="D9" s="5"/>
      <c r="E9" s="5"/>
      <c r="F9" s="5"/>
    </row>
    <row r="10" spans="2:6" ht="39.75" customHeight="1" x14ac:dyDescent="0.35">
      <c r="B10" s="4" t="s">
        <v>10</v>
      </c>
      <c r="C10" s="4"/>
      <c r="D10" s="4"/>
      <c r="E10" s="4"/>
      <c r="F10" s="4"/>
    </row>
    <row r="12" spans="2:6" ht="24" customHeight="1" x14ac:dyDescent="0.35">
      <c r="B12" s="5" t="s">
        <v>11</v>
      </c>
      <c r="C12" s="5"/>
      <c r="D12" s="5"/>
      <c r="E12" s="5"/>
      <c r="F12" s="5"/>
    </row>
    <row r="13" spans="2:6" ht="27.75" customHeight="1" x14ac:dyDescent="0.35">
      <c r="B13" s="9" t="s">
        <v>12</v>
      </c>
      <c r="C13" s="9" t="s">
        <v>13</v>
      </c>
      <c r="D13" s="9"/>
    </row>
    <row r="14" spans="2:6" ht="21.75" customHeight="1" x14ac:dyDescent="0.35">
      <c r="B14" s="10" t="s">
        <v>14</v>
      </c>
      <c r="C14" s="11" t="s">
        <v>15</v>
      </c>
    </row>
    <row r="15" spans="2:6" ht="21.75" customHeight="1" x14ac:dyDescent="0.35">
      <c r="B15" s="10" t="s">
        <v>16</v>
      </c>
      <c r="C15" s="11" t="s">
        <v>17</v>
      </c>
    </row>
    <row r="16" spans="2:6" ht="21.75" customHeight="1" x14ac:dyDescent="0.35">
      <c r="B16" s="10" t="s">
        <v>18</v>
      </c>
      <c r="C16" s="11" t="s">
        <v>19</v>
      </c>
    </row>
    <row r="17" spans="2:6" ht="21.75" customHeight="1" x14ac:dyDescent="0.35">
      <c r="B17" s="10" t="s">
        <v>20</v>
      </c>
      <c r="C17" s="11" t="s">
        <v>21</v>
      </c>
    </row>
    <row r="18" spans="2:6" ht="21.75" customHeight="1" x14ac:dyDescent="0.35">
      <c r="B18" s="10" t="s">
        <v>22</v>
      </c>
      <c r="C18" s="11" t="s">
        <v>23</v>
      </c>
    </row>
    <row r="21" spans="2:6" ht="14.5" x14ac:dyDescent="0.35">
      <c r="B21" s="3" t="s">
        <v>24</v>
      </c>
      <c r="C21" s="3"/>
      <c r="D21" s="3"/>
      <c r="E21" s="3"/>
      <c r="F21" s="3"/>
    </row>
    <row r="22" spans="2:6" ht="14.5" x14ac:dyDescent="0.35">
      <c r="B22" s="12" t="s">
        <v>25</v>
      </c>
    </row>
  </sheetData>
  <mergeCells count="5">
    <mergeCell ref="B2:F2"/>
    <mergeCell ref="B9:F9"/>
    <mergeCell ref="B10:F10"/>
    <mergeCell ref="B12:F12"/>
    <mergeCell ref="B21:F21"/>
  </mergeCells>
  <hyperlinks>
    <hyperlink ref="B14" location="'Assumptions'!B2" display="Assumptions" xr:uid="{00000000-0004-0000-0000-000000000000}"/>
    <hyperlink ref="B15" location="'Tier Pricing'!B2" display="Tier Pricing" xr:uid="{00000000-0004-0000-0000-000001000000}"/>
    <hyperlink ref="B16" location="'Regional Deploy'!B2" display="Regional Deploy" xr:uid="{00000000-0004-0000-0000-000002000000}"/>
    <hyperlink ref="B17" location="'Revenue Model'!B2" display="Revenue Model" xr:uid="{00000000-0004-0000-0000-000003000000}"/>
    <hyperlink ref="B18" location="'Breakeven'!B2" display="Breakeven" xr:uid="{00000000-0004-0000-00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4E54"/>
    <pageSetUpPr fitToPage="1"/>
  </sheetPr>
  <dimension ref="B2:E3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1" width="3" customWidth="1"/>
    <col min="2" max="2" width="40" customWidth="1"/>
    <col min="3" max="4" width="18" customWidth="1"/>
    <col min="5" max="5" width="30" customWidth="1"/>
  </cols>
  <sheetData>
    <row r="2" spans="2:5" ht="36" customHeight="1" x14ac:dyDescent="0.35">
      <c r="B2" s="6" t="s">
        <v>26</v>
      </c>
      <c r="C2" s="6"/>
      <c r="D2" s="6"/>
      <c r="E2" s="6"/>
    </row>
    <row r="4" spans="2:5" ht="24" customHeight="1" x14ac:dyDescent="0.35">
      <c r="B4" s="5" t="s">
        <v>27</v>
      </c>
      <c r="C4" s="5"/>
      <c r="D4" s="5"/>
      <c r="E4" s="5"/>
    </row>
    <row r="5" spans="2:5" ht="27.75" customHeight="1" x14ac:dyDescent="0.35">
      <c r="B5" s="9" t="s">
        <v>28</v>
      </c>
      <c r="C5" s="9" t="s">
        <v>29</v>
      </c>
      <c r="D5" s="9" t="s">
        <v>30</v>
      </c>
      <c r="E5" s="9" t="s">
        <v>31</v>
      </c>
    </row>
    <row r="6" spans="2:5" ht="14.5" x14ac:dyDescent="0.35">
      <c r="B6" s="13" t="s">
        <v>32</v>
      </c>
      <c r="C6" s="14">
        <v>36000</v>
      </c>
      <c r="D6" s="15" t="s">
        <v>33</v>
      </c>
      <c r="E6" s="16" t="s">
        <v>34</v>
      </c>
    </row>
    <row r="7" spans="2:5" ht="14.5" x14ac:dyDescent="0.35">
      <c r="B7" s="13" t="s">
        <v>35</v>
      </c>
      <c r="C7" s="14">
        <v>120</v>
      </c>
      <c r="D7" s="15" t="s">
        <v>36</v>
      </c>
      <c r="E7" s="16" t="s">
        <v>37</v>
      </c>
    </row>
    <row r="8" spans="2:5" ht="14.5" x14ac:dyDescent="0.35">
      <c r="B8" s="13" t="s">
        <v>38</v>
      </c>
      <c r="C8" s="14">
        <v>480000</v>
      </c>
      <c r="D8" s="15" t="s">
        <v>33</v>
      </c>
      <c r="E8" s="16" t="s">
        <v>39</v>
      </c>
    </row>
    <row r="9" spans="2:5" ht="14.5" x14ac:dyDescent="0.35">
      <c r="B9" s="13" t="s">
        <v>40</v>
      </c>
      <c r="C9" s="14">
        <v>150000</v>
      </c>
      <c r="D9" s="15" t="s">
        <v>33</v>
      </c>
      <c r="E9" s="16" t="s">
        <v>41</v>
      </c>
    </row>
    <row r="10" spans="2:5" ht="14.5" x14ac:dyDescent="0.35">
      <c r="B10" s="13" t="s">
        <v>42</v>
      </c>
      <c r="C10" s="14">
        <v>120000</v>
      </c>
      <c r="D10" s="15" t="s">
        <v>33</v>
      </c>
      <c r="E10" s="16" t="s">
        <v>43</v>
      </c>
    </row>
    <row r="11" spans="2:5" ht="14.5" x14ac:dyDescent="0.35">
      <c r="B11" s="13" t="s">
        <v>44</v>
      </c>
      <c r="C11" s="14">
        <v>96000</v>
      </c>
      <c r="D11" s="15" t="s">
        <v>33</v>
      </c>
      <c r="E11" s="16" t="s">
        <v>45</v>
      </c>
    </row>
    <row r="12" spans="2:5" ht="14.5" x14ac:dyDescent="0.35">
      <c r="B12" s="13" t="s">
        <v>46</v>
      </c>
      <c r="C12" s="14">
        <v>36000</v>
      </c>
      <c r="D12" s="15" t="s">
        <v>33</v>
      </c>
      <c r="E12" s="16" t="s">
        <v>47</v>
      </c>
    </row>
    <row r="13" spans="2:5" ht="14.5" x14ac:dyDescent="0.35">
      <c r="B13" s="13" t="s">
        <v>48</v>
      </c>
      <c r="C13" s="14">
        <v>60000</v>
      </c>
      <c r="D13" s="15" t="s">
        <v>33</v>
      </c>
      <c r="E13" s="16" t="s">
        <v>49</v>
      </c>
    </row>
    <row r="14" spans="2:5" ht="14.5" x14ac:dyDescent="0.35">
      <c r="B14" s="13" t="s">
        <v>50</v>
      </c>
      <c r="C14" s="14">
        <v>3500</v>
      </c>
      <c r="D14" s="15" t="s">
        <v>51</v>
      </c>
      <c r="E14" s="16" t="s">
        <v>52</v>
      </c>
    </row>
    <row r="15" spans="2:5" ht="14.5" x14ac:dyDescent="0.35">
      <c r="B15" s="13" t="s">
        <v>53</v>
      </c>
      <c r="C15" s="17">
        <v>0.15</v>
      </c>
      <c r="D15" s="15" t="s">
        <v>54</v>
      </c>
      <c r="E15" s="16" t="s">
        <v>55</v>
      </c>
    </row>
    <row r="17" spans="2:5" ht="14.5" x14ac:dyDescent="0.35">
      <c r="B17" s="18" t="s">
        <v>56</v>
      </c>
      <c r="C17" s="19">
        <f>C6+C8+C9+C10+C11+C12+C13</f>
        <v>978000</v>
      </c>
    </row>
    <row r="19" spans="2:5" ht="24" customHeight="1" x14ac:dyDescent="0.35">
      <c r="B19" s="5" t="s">
        <v>57</v>
      </c>
      <c r="C19" s="5"/>
      <c r="D19" s="5"/>
      <c r="E19" s="5"/>
    </row>
    <row r="20" spans="2:5" ht="27.75" customHeight="1" x14ac:dyDescent="0.35">
      <c r="B20" s="9" t="s">
        <v>58</v>
      </c>
      <c r="C20" s="9" t="s">
        <v>29</v>
      </c>
      <c r="D20" s="9" t="s">
        <v>30</v>
      </c>
      <c r="E20" s="9" t="s">
        <v>31</v>
      </c>
    </row>
    <row r="21" spans="2:5" ht="14.5" x14ac:dyDescent="0.35">
      <c r="B21" s="13" t="s">
        <v>59</v>
      </c>
      <c r="C21" s="20">
        <v>0.75</v>
      </c>
      <c r="D21" s="15" t="s">
        <v>60</v>
      </c>
      <c r="E21" s="16" t="s">
        <v>61</v>
      </c>
    </row>
    <row r="22" spans="2:5" ht="14.5" x14ac:dyDescent="0.35">
      <c r="B22" s="13" t="s">
        <v>62</v>
      </c>
      <c r="C22" s="14">
        <v>25000</v>
      </c>
      <c r="D22" s="15" t="s">
        <v>33</v>
      </c>
      <c r="E22" s="16" t="s">
        <v>63</v>
      </c>
    </row>
    <row r="23" spans="2:5" ht="14.5" x14ac:dyDescent="0.35">
      <c r="B23" s="13" t="s">
        <v>64</v>
      </c>
      <c r="C23" s="14">
        <v>5000</v>
      </c>
      <c r="D23" s="15" t="s">
        <v>51</v>
      </c>
      <c r="E23" s="16" t="s">
        <v>65</v>
      </c>
    </row>
    <row r="24" spans="2:5" ht="14.5" x14ac:dyDescent="0.35">
      <c r="B24" s="13" t="s">
        <v>66</v>
      </c>
      <c r="C24" s="20">
        <v>0.03</v>
      </c>
      <c r="D24" s="15" t="s">
        <v>67</v>
      </c>
      <c r="E24" s="16" t="s">
        <v>68</v>
      </c>
    </row>
    <row r="25" spans="2:5" ht="14.5" x14ac:dyDescent="0.35">
      <c r="B25" s="13" t="s">
        <v>69</v>
      </c>
      <c r="C25" s="20">
        <v>0.1</v>
      </c>
      <c r="D25" s="15" t="s">
        <v>60</v>
      </c>
      <c r="E25" s="16" t="s">
        <v>70</v>
      </c>
    </row>
    <row r="26" spans="2:5" ht="14.5" x14ac:dyDescent="0.35">
      <c r="B26" s="13" t="s">
        <v>71</v>
      </c>
      <c r="C26" s="20">
        <v>0.15</v>
      </c>
      <c r="D26" s="15" t="s">
        <v>60</v>
      </c>
      <c r="E26" s="16" t="s">
        <v>72</v>
      </c>
    </row>
    <row r="29" spans="2:5" ht="24" customHeight="1" x14ac:dyDescent="0.35">
      <c r="B29" s="5" t="s">
        <v>73</v>
      </c>
      <c r="C29" s="5"/>
      <c r="D29" s="5"/>
      <c r="E29" s="5"/>
    </row>
    <row r="30" spans="2:5" ht="27.75" customHeight="1" x14ac:dyDescent="0.35">
      <c r="B30" s="9" t="s">
        <v>58</v>
      </c>
      <c r="C30" s="9" t="s">
        <v>29</v>
      </c>
      <c r="D30" s="9" t="s">
        <v>30</v>
      </c>
      <c r="E30" s="9" t="s">
        <v>31</v>
      </c>
    </row>
    <row r="31" spans="2:5" ht="14.5" x14ac:dyDescent="0.35">
      <c r="B31" s="13" t="s">
        <v>74</v>
      </c>
      <c r="C31" s="21">
        <v>700000</v>
      </c>
      <c r="D31" s="15" t="s">
        <v>75</v>
      </c>
      <c r="E31" s="16" t="s">
        <v>76</v>
      </c>
    </row>
    <row r="32" spans="2:5" ht="14.5" x14ac:dyDescent="0.35">
      <c r="B32" s="13" t="s">
        <v>77</v>
      </c>
      <c r="C32" s="21">
        <v>230000</v>
      </c>
      <c r="D32" s="15" t="s">
        <v>75</v>
      </c>
      <c r="E32" s="16" t="s">
        <v>78</v>
      </c>
    </row>
    <row r="33" spans="2:5" ht="14.5" x14ac:dyDescent="0.35">
      <c r="B33" s="13" t="s">
        <v>79</v>
      </c>
      <c r="C33" s="21">
        <v>3000000</v>
      </c>
      <c r="D33" s="15" t="s">
        <v>75</v>
      </c>
      <c r="E33" s="16" t="s">
        <v>80</v>
      </c>
    </row>
    <row r="34" spans="2:5" ht="14.5" x14ac:dyDescent="0.35">
      <c r="B34" s="13" t="s">
        <v>81</v>
      </c>
      <c r="C34" s="20">
        <v>0.05</v>
      </c>
      <c r="D34" s="15" t="s">
        <v>60</v>
      </c>
      <c r="E34" s="16" t="s">
        <v>82</v>
      </c>
    </row>
    <row r="35" spans="2:5" ht="14.5" x14ac:dyDescent="0.35">
      <c r="B35" s="13" t="s">
        <v>83</v>
      </c>
      <c r="C35" s="20">
        <v>0.1</v>
      </c>
      <c r="D35" s="15" t="s">
        <v>60</v>
      </c>
      <c r="E35" s="16" t="s">
        <v>84</v>
      </c>
    </row>
    <row r="36" spans="2:5" ht="14.5" x14ac:dyDescent="0.35">
      <c r="B36" s="13" t="s">
        <v>85</v>
      </c>
      <c r="C36" s="20">
        <v>0.18</v>
      </c>
      <c r="D36" s="15" t="s">
        <v>60</v>
      </c>
      <c r="E36" s="16" t="s">
        <v>86</v>
      </c>
    </row>
  </sheetData>
  <mergeCells count="4">
    <mergeCell ref="B2:E2"/>
    <mergeCell ref="B4:E4"/>
    <mergeCell ref="B19:E19"/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808D"/>
    <pageSetUpPr fitToPage="1"/>
  </sheetPr>
  <dimension ref="B2:H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1" width="3" customWidth="1"/>
    <col min="2" max="2" width="22" customWidth="1"/>
    <col min="3" max="7" width="16" customWidth="1"/>
    <col min="8" max="8" width="18" customWidth="1"/>
  </cols>
  <sheetData>
    <row r="2" spans="2:8" ht="36" customHeight="1" x14ac:dyDescent="0.35">
      <c r="B2" s="6" t="s">
        <v>87</v>
      </c>
      <c r="C2" s="6"/>
      <c r="D2" s="6"/>
      <c r="E2" s="6"/>
      <c r="F2" s="6"/>
      <c r="G2" s="6"/>
      <c r="H2" s="6"/>
    </row>
    <row r="4" spans="2:8" ht="24" customHeight="1" x14ac:dyDescent="0.35">
      <c r="B4" s="5" t="s">
        <v>88</v>
      </c>
      <c r="C4" s="5"/>
      <c r="D4" s="5"/>
      <c r="E4" s="5"/>
      <c r="F4" s="5"/>
      <c r="G4" s="5"/>
      <c r="H4" s="5"/>
    </row>
    <row r="5" spans="2:8" ht="27.75" customHeight="1" x14ac:dyDescent="0.35">
      <c r="B5" s="9" t="s">
        <v>89</v>
      </c>
      <c r="C5" s="9" t="s">
        <v>90</v>
      </c>
      <c r="D5" s="9" t="s">
        <v>91</v>
      </c>
      <c r="E5" s="9" t="s">
        <v>92</v>
      </c>
      <c r="F5" s="9" t="s">
        <v>93</v>
      </c>
      <c r="G5" s="9" t="s">
        <v>94</v>
      </c>
    </row>
    <row r="6" spans="2:8" ht="30" customHeight="1" x14ac:dyDescent="0.35">
      <c r="B6" s="13" t="s">
        <v>95</v>
      </c>
      <c r="C6" s="15" t="s">
        <v>96</v>
      </c>
      <c r="D6" s="22">
        <v>4.5</v>
      </c>
      <c r="E6" s="23">
        <f>D6*12</f>
        <v>54</v>
      </c>
      <c r="F6" s="24">
        <f>Assumptions!C22</f>
        <v>25000</v>
      </c>
      <c r="G6" s="2" t="s">
        <v>97</v>
      </c>
      <c r="H6" s="2"/>
    </row>
    <row r="7" spans="2:8" ht="30" customHeight="1" x14ac:dyDescent="0.35">
      <c r="B7" s="13" t="s">
        <v>98</v>
      </c>
      <c r="C7" s="15" t="s">
        <v>99</v>
      </c>
      <c r="D7" s="22">
        <v>3.75</v>
      </c>
      <c r="E7" s="23">
        <f>D7*12</f>
        <v>45</v>
      </c>
      <c r="F7" s="24">
        <f>Assumptions!C22</f>
        <v>25000</v>
      </c>
      <c r="G7" s="2" t="s">
        <v>100</v>
      </c>
      <c r="H7" s="2"/>
    </row>
    <row r="8" spans="2:8" ht="30" customHeight="1" x14ac:dyDescent="0.35">
      <c r="B8" s="13" t="s">
        <v>101</v>
      </c>
      <c r="C8" s="15" t="s">
        <v>102</v>
      </c>
      <c r="D8" s="22">
        <v>2.95</v>
      </c>
      <c r="E8" s="23">
        <f>D8*12</f>
        <v>35.400000000000006</v>
      </c>
      <c r="F8" s="24">
        <f>Assumptions!C22</f>
        <v>25000</v>
      </c>
      <c r="G8" s="2" t="s">
        <v>103</v>
      </c>
      <c r="H8" s="2"/>
    </row>
    <row r="9" spans="2:8" ht="30" customHeight="1" x14ac:dyDescent="0.35">
      <c r="B9" s="13" t="s">
        <v>104</v>
      </c>
      <c r="C9" s="15" t="s">
        <v>105</v>
      </c>
      <c r="D9" s="22">
        <v>2.25</v>
      </c>
      <c r="E9" s="23">
        <f>D9*12</f>
        <v>27</v>
      </c>
      <c r="F9" s="24">
        <f>Assumptions!C22</f>
        <v>25000</v>
      </c>
      <c r="G9" s="2" t="s">
        <v>106</v>
      </c>
      <c r="H9" s="2"/>
    </row>
    <row r="12" spans="2:8" ht="24" customHeight="1" x14ac:dyDescent="0.35">
      <c r="B12" s="5" t="s">
        <v>107</v>
      </c>
      <c r="C12" s="5"/>
      <c r="D12" s="5"/>
      <c r="E12" s="5"/>
      <c r="F12" s="5"/>
      <c r="G12" s="5"/>
      <c r="H12" s="5"/>
    </row>
    <row r="13" spans="2:8" ht="30" customHeight="1" x14ac:dyDescent="0.35">
      <c r="B13" s="4" t="s">
        <v>108</v>
      </c>
      <c r="C13" s="4"/>
      <c r="D13" s="4"/>
      <c r="E13" s="4"/>
      <c r="F13" s="4"/>
      <c r="G13" s="4"/>
      <c r="H13" s="4"/>
    </row>
    <row r="14" spans="2:8" ht="27.75" customHeight="1" x14ac:dyDescent="0.35">
      <c r="B14" s="9" t="s">
        <v>109</v>
      </c>
      <c r="C14" s="9" t="s">
        <v>110</v>
      </c>
      <c r="D14" s="9" t="s">
        <v>95</v>
      </c>
      <c r="E14" s="9" t="s">
        <v>98</v>
      </c>
      <c r="F14" s="9" t="s">
        <v>101</v>
      </c>
      <c r="G14" s="9" t="s">
        <v>104</v>
      </c>
      <c r="H14" s="9" t="s">
        <v>111</v>
      </c>
    </row>
    <row r="15" spans="2:8" ht="14.5" x14ac:dyDescent="0.35">
      <c r="B15" s="13" t="s">
        <v>112</v>
      </c>
      <c r="C15" s="21">
        <v>200</v>
      </c>
      <c r="D15" s="25">
        <f>'Tier Pricing'!F6+(C15*'Tier Pricing'!E6)</f>
        <v>35800</v>
      </c>
      <c r="E15" s="25">
        <f>'Tier Pricing'!F7+(C15*'Tier Pricing'!E7)</f>
        <v>34000</v>
      </c>
      <c r="F15" s="25">
        <f>'Tier Pricing'!F8+(C15*'Tier Pricing'!E8)</f>
        <v>32080</v>
      </c>
      <c r="G15" s="25">
        <f>'Tier Pricing'!F9+(C15*'Tier Pricing'!E9)</f>
        <v>30400</v>
      </c>
      <c r="H15" s="24">
        <f>10*Assumptions!C23</f>
        <v>50000</v>
      </c>
    </row>
    <row r="16" spans="2:8" ht="14.5" x14ac:dyDescent="0.35">
      <c r="B16" s="13" t="s">
        <v>113</v>
      </c>
      <c r="C16" s="21">
        <v>2000</v>
      </c>
      <c r="D16" s="25">
        <f>'Tier Pricing'!F6+(C16*'Tier Pricing'!E6)</f>
        <v>133000</v>
      </c>
      <c r="E16" s="25">
        <f>'Tier Pricing'!F7+(C16*'Tier Pricing'!E7)</f>
        <v>115000</v>
      </c>
      <c r="F16" s="25">
        <f>'Tier Pricing'!F8+(C16*'Tier Pricing'!E8)</f>
        <v>95800.000000000015</v>
      </c>
      <c r="G16" s="25">
        <f>'Tier Pricing'!F9+(C16*'Tier Pricing'!E9)</f>
        <v>79000</v>
      </c>
      <c r="H16" s="24">
        <f>10*Assumptions!C23</f>
        <v>50000</v>
      </c>
    </row>
    <row r="17" spans="2:8" ht="14.5" x14ac:dyDescent="0.35">
      <c r="B17" s="13" t="s">
        <v>114</v>
      </c>
      <c r="C17" s="21">
        <v>10000</v>
      </c>
      <c r="D17" s="25">
        <f>'Tier Pricing'!F6+(C17*'Tier Pricing'!E6)</f>
        <v>565000</v>
      </c>
      <c r="E17" s="25">
        <f>'Tier Pricing'!F7+(C17*'Tier Pricing'!E7)</f>
        <v>475000</v>
      </c>
      <c r="F17" s="25">
        <f>'Tier Pricing'!F8+(C17*'Tier Pricing'!E8)</f>
        <v>379000.00000000006</v>
      </c>
      <c r="G17" s="25">
        <f>'Tier Pricing'!F9+(C17*'Tier Pricing'!E9)</f>
        <v>295000</v>
      </c>
      <c r="H17" s="24">
        <f>10*Assumptions!C23</f>
        <v>50000</v>
      </c>
    </row>
    <row r="18" spans="2:8" ht="14.5" x14ac:dyDescent="0.35">
      <c r="B18" s="13" t="s">
        <v>115</v>
      </c>
      <c r="C18" s="21">
        <v>25000</v>
      </c>
      <c r="D18" s="25">
        <f>'Tier Pricing'!F6+(C18*'Tier Pricing'!E6)</f>
        <v>1375000</v>
      </c>
      <c r="E18" s="25">
        <f>'Tier Pricing'!F7+(C18*'Tier Pricing'!E7)</f>
        <v>1150000</v>
      </c>
      <c r="F18" s="25">
        <f>'Tier Pricing'!F8+(C18*'Tier Pricing'!E8)</f>
        <v>910000.00000000012</v>
      </c>
      <c r="G18" s="25">
        <f>'Tier Pricing'!F9+(C18*'Tier Pricing'!E9)</f>
        <v>700000</v>
      </c>
      <c r="H18" s="24">
        <f>10*Assumptions!C23</f>
        <v>50000</v>
      </c>
    </row>
    <row r="19" spans="2:8" ht="14.5" x14ac:dyDescent="0.35">
      <c r="B19" s="13" t="s">
        <v>116</v>
      </c>
      <c r="C19" s="21">
        <v>50000</v>
      </c>
      <c r="D19" s="25">
        <f>'Tier Pricing'!F6+(C19*'Tier Pricing'!E6)</f>
        <v>2725000</v>
      </c>
      <c r="E19" s="25">
        <f>'Tier Pricing'!F7+(C19*'Tier Pricing'!E7)</f>
        <v>2275000</v>
      </c>
      <c r="F19" s="25">
        <f>'Tier Pricing'!F8+(C19*'Tier Pricing'!E8)</f>
        <v>1795000.0000000002</v>
      </c>
      <c r="G19" s="25">
        <f>'Tier Pricing'!F9+(C19*'Tier Pricing'!E9)</f>
        <v>1375000</v>
      </c>
      <c r="H19" s="24">
        <f>10*Assumptions!C23</f>
        <v>50000</v>
      </c>
    </row>
    <row r="20" spans="2:8" ht="14.5" x14ac:dyDescent="0.35">
      <c r="B20" s="13" t="s">
        <v>117</v>
      </c>
      <c r="C20" s="21">
        <v>100000</v>
      </c>
      <c r="D20" s="25">
        <f>'Tier Pricing'!F6+(C20*'Tier Pricing'!E6)</f>
        <v>5425000</v>
      </c>
      <c r="E20" s="25">
        <f>'Tier Pricing'!F7+(C20*'Tier Pricing'!E7)</f>
        <v>4525000</v>
      </c>
      <c r="F20" s="25">
        <f>'Tier Pricing'!F8+(C20*'Tier Pricing'!E8)</f>
        <v>3565000.0000000005</v>
      </c>
      <c r="G20" s="25">
        <f>'Tier Pricing'!F9+(C20*'Tier Pricing'!E9)</f>
        <v>2725000</v>
      </c>
      <c r="H20" s="24">
        <f>10*Assumptions!C23</f>
        <v>50000</v>
      </c>
    </row>
    <row r="23" spans="2:8" ht="24" customHeight="1" x14ac:dyDescent="0.35">
      <c r="B23" s="5" t="s">
        <v>118</v>
      </c>
      <c r="C23" s="5"/>
      <c r="D23" s="5"/>
      <c r="E23" s="5"/>
      <c r="F23" s="5"/>
      <c r="G23" s="5"/>
      <c r="H23" s="5"/>
    </row>
    <row r="24" spans="2:8" ht="27.75" customHeight="1" x14ac:dyDescent="0.35">
      <c r="B24" s="9" t="s">
        <v>119</v>
      </c>
      <c r="C24" s="9" t="s">
        <v>120</v>
      </c>
      <c r="D24" s="9" t="s">
        <v>121</v>
      </c>
    </row>
    <row r="25" spans="2:8" ht="14.5" x14ac:dyDescent="0.35">
      <c r="B25" s="13" t="s">
        <v>122</v>
      </c>
      <c r="C25" s="26">
        <f>Assumptions!C25</f>
        <v>0.1</v>
      </c>
      <c r="D25" s="1" t="s">
        <v>123</v>
      </c>
      <c r="E25" s="1"/>
      <c r="F25" s="1"/>
      <c r="G25" s="1"/>
      <c r="H25" s="1"/>
    </row>
    <row r="26" spans="2:8" ht="14.5" x14ac:dyDescent="0.35">
      <c r="B26" s="13" t="s">
        <v>124</v>
      </c>
      <c r="C26" s="26">
        <f>Assumptions!C26</f>
        <v>0.15</v>
      </c>
      <c r="D26" s="1" t="s">
        <v>125</v>
      </c>
      <c r="E26" s="1"/>
      <c r="F26" s="1"/>
      <c r="G26" s="1"/>
      <c r="H26" s="1"/>
    </row>
    <row r="27" spans="2:8" ht="14.5" x14ac:dyDescent="0.35">
      <c r="B27" s="13" t="s">
        <v>126</v>
      </c>
      <c r="C27" s="20">
        <v>0.05</v>
      </c>
      <c r="D27" s="1" t="s">
        <v>127</v>
      </c>
      <c r="E27" s="1"/>
      <c r="F27" s="1"/>
      <c r="G27" s="1"/>
      <c r="H27" s="1"/>
    </row>
  </sheetData>
  <mergeCells count="12">
    <mergeCell ref="D26:H26"/>
    <mergeCell ref="D27:H27"/>
    <mergeCell ref="G9:H9"/>
    <mergeCell ref="B12:H12"/>
    <mergeCell ref="B13:H13"/>
    <mergeCell ref="B23:H23"/>
    <mergeCell ref="D25:H25"/>
    <mergeCell ref="B2:H2"/>
    <mergeCell ref="B4:H4"/>
    <mergeCell ref="G6:H6"/>
    <mergeCell ref="G7:H7"/>
    <mergeCell ref="G8:H8"/>
  </mergeCells>
  <conditionalFormatting sqref="D15:G20">
    <cfRule type="colorScale" priority="2">
      <colorScale>
        <cfvo type="min"/>
        <cfvo type="max"/>
        <color rgb="FFFFFFFF"/>
        <color rgb="FF20808D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4B2F"/>
    <pageSetUpPr fitToPage="1"/>
  </sheetPr>
  <dimension ref="B2:H2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1" width="3" customWidth="1"/>
    <col min="2" max="2" width="28" customWidth="1"/>
    <col min="3" max="3" width="14" customWidth="1"/>
    <col min="4" max="8" width="18" customWidth="1"/>
  </cols>
  <sheetData>
    <row r="2" spans="2:8" ht="36" customHeight="1" x14ac:dyDescent="0.35">
      <c r="B2" s="6" t="s">
        <v>128</v>
      </c>
      <c r="C2" s="6"/>
      <c r="D2" s="6"/>
      <c r="E2" s="6"/>
      <c r="F2" s="6"/>
      <c r="G2" s="6"/>
      <c r="H2" s="6"/>
    </row>
    <row r="4" spans="2:8" ht="24" customHeight="1" x14ac:dyDescent="0.35">
      <c r="B4" s="5" t="s">
        <v>129</v>
      </c>
      <c r="C4" s="5"/>
      <c r="D4" s="5"/>
      <c r="E4" s="5"/>
      <c r="F4" s="5"/>
      <c r="G4" s="5"/>
      <c r="H4" s="5"/>
    </row>
    <row r="5" spans="2:8" ht="27.75" customHeight="1" x14ac:dyDescent="0.35">
      <c r="B5" s="9" t="s">
        <v>130</v>
      </c>
      <c r="C5" s="9" t="s">
        <v>131</v>
      </c>
      <c r="D5" s="9" t="s">
        <v>132</v>
      </c>
      <c r="E5" s="9" t="s">
        <v>133</v>
      </c>
      <c r="F5" s="9" t="s">
        <v>134</v>
      </c>
      <c r="G5" s="9" t="s">
        <v>135</v>
      </c>
      <c r="H5" s="9" t="s">
        <v>136</v>
      </c>
    </row>
    <row r="6" spans="2:8" ht="14.5" x14ac:dyDescent="0.35">
      <c r="B6" s="13" t="s">
        <v>137</v>
      </c>
      <c r="C6" s="21">
        <v>45</v>
      </c>
      <c r="D6" s="24">
        <f>Assumptions!C23</f>
        <v>5000</v>
      </c>
      <c r="E6" s="25">
        <f t="shared" ref="E6:E16" si="0">2000+(C6*50)</f>
        <v>4250</v>
      </c>
      <c r="F6" s="25">
        <f t="shared" ref="F6:F16" si="1">C6*25</f>
        <v>1125</v>
      </c>
      <c r="G6" s="27">
        <f t="shared" ref="G6:G16" si="2">D6+E6+F6</f>
        <v>10375</v>
      </c>
      <c r="H6" s="25">
        <f t="shared" ref="H6:H16" si="3">E6+F6</f>
        <v>5375</v>
      </c>
    </row>
    <row r="7" spans="2:8" ht="14.5" x14ac:dyDescent="0.35">
      <c r="B7" s="13" t="s">
        <v>138</v>
      </c>
      <c r="C7" s="21">
        <v>30</v>
      </c>
      <c r="D7" s="24">
        <f>Assumptions!C23</f>
        <v>5000</v>
      </c>
      <c r="E7" s="25">
        <f t="shared" si="0"/>
        <v>3500</v>
      </c>
      <c r="F7" s="25">
        <f t="shared" si="1"/>
        <v>750</v>
      </c>
      <c r="G7" s="27">
        <f t="shared" si="2"/>
        <v>9250</v>
      </c>
      <c r="H7" s="25">
        <f t="shared" si="3"/>
        <v>4250</v>
      </c>
    </row>
    <row r="8" spans="2:8" ht="14.5" x14ac:dyDescent="0.35">
      <c r="B8" s="13" t="s">
        <v>139</v>
      </c>
      <c r="C8" s="21">
        <v>15</v>
      </c>
      <c r="D8" s="24">
        <f>Assumptions!C23</f>
        <v>5000</v>
      </c>
      <c r="E8" s="25">
        <f t="shared" si="0"/>
        <v>2750</v>
      </c>
      <c r="F8" s="25">
        <f t="shared" si="1"/>
        <v>375</v>
      </c>
      <c r="G8" s="27">
        <f t="shared" si="2"/>
        <v>8125</v>
      </c>
      <c r="H8" s="25">
        <f t="shared" si="3"/>
        <v>3125</v>
      </c>
    </row>
    <row r="9" spans="2:8" ht="14.5" x14ac:dyDescent="0.35">
      <c r="B9" s="13" t="s">
        <v>140</v>
      </c>
      <c r="C9" s="21">
        <v>15</v>
      </c>
      <c r="D9" s="24">
        <f>Assumptions!C23</f>
        <v>5000</v>
      </c>
      <c r="E9" s="25">
        <f t="shared" si="0"/>
        <v>2750</v>
      </c>
      <c r="F9" s="25">
        <f t="shared" si="1"/>
        <v>375</v>
      </c>
      <c r="G9" s="27">
        <f t="shared" si="2"/>
        <v>8125</v>
      </c>
      <c r="H9" s="25">
        <f t="shared" si="3"/>
        <v>3125</v>
      </c>
    </row>
    <row r="10" spans="2:8" ht="14.5" x14ac:dyDescent="0.35">
      <c r="B10" s="13" t="s">
        <v>141</v>
      </c>
      <c r="C10" s="21">
        <v>120</v>
      </c>
      <c r="D10" s="24">
        <f>Assumptions!C23</f>
        <v>5000</v>
      </c>
      <c r="E10" s="25">
        <f t="shared" si="0"/>
        <v>8000</v>
      </c>
      <c r="F10" s="25">
        <f t="shared" si="1"/>
        <v>3000</v>
      </c>
      <c r="G10" s="27">
        <f t="shared" si="2"/>
        <v>16000</v>
      </c>
      <c r="H10" s="25">
        <f t="shared" si="3"/>
        <v>11000</v>
      </c>
    </row>
    <row r="11" spans="2:8" ht="14.5" x14ac:dyDescent="0.35">
      <c r="B11" s="13" t="s">
        <v>142</v>
      </c>
      <c r="C11" s="21">
        <v>80</v>
      </c>
      <c r="D11" s="24">
        <f>Assumptions!C23</f>
        <v>5000</v>
      </c>
      <c r="E11" s="25">
        <f t="shared" si="0"/>
        <v>6000</v>
      </c>
      <c r="F11" s="25">
        <f t="shared" si="1"/>
        <v>2000</v>
      </c>
      <c r="G11" s="27">
        <f t="shared" si="2"/>
        <v>13000</v>
      </c>
      <c r="H11" s="25">
        <f t="shared" si="3"/>
        <v>8000</v>
      </c>
    </row>
    <row r="12" spans="2:8" ht="14.5" x14ac:dyDescent="0.35">
      <c r="B12" s="13" t="s">
        <v>143</v>
      </c>
      <c r="C12" s="21">
        <v>10</v>
      </c>
      <c r="D12" s="24">
        <f>Assumptions!C23</f>
        <v>5000</v>
      </c>
      <c r="E12" s="25">
        <f t="shared" si="0"/>
        <v>2500</v>
      </c>
      <c r="F12" s="25">
        <f t="shared" si="1"/>
        <v>250</v>
      </c>
      <c r="G12" s="27">
        <f t="shared" si="2"/>
        <v>7750</v>
      </c>
      <c r="H12" s="25">
        <f t="shared" si="3"/>
        <v>2750</v>
      </c>
    </row>
    <row r="13" spans="2:8" ht="14.5" x14ac:dyDescent="0.35">
      <c r="B13" s="13" t="s">
        <v>144</v>
      </c>
      <c r="C13" s="21">
        <v>12</v>
      </c>
      <c r="D13" s="24">
        <f>Assumptions!C23</f>
        <v>5000</v>
      </c>
      <c r="E13" s="25">
        <f t="shared" si="0"/>
        <v>2600</v>
      </c>
      <c r="F13" s="25">
        <f t="shared" si="1"/>
        <v>300</v>
      </c>
      <c r="G13" s="27">
        <f t="shared" si="2"/>
        <v>7900</v>
      </c>
      <c r="H13" s="25">
        <f t="shared" si="3"/>
        <v>2900</v>
      </c>
    </row>
    <row r="14" spans="2:8" ht="14.5" x14ac:dyDescent="0.35">
      <c r="B14" s="13" t="s">
        <v>145</v>
      </c>
      <c r="C14" s="21">
        <v>5</v>
      </c>
      <c r="D14" s="24">
        <f>Assumptions!C23</f>
        <v>5000</v>
      </c>
      <c r="E14" s="25">
        <f t="shared" si="0"/>
        <v>2250</v>
      </c>
      <c r="F14" s="25">
        <f t="shared" si="1"/>
        <v>125</v>
      </c>
      <c r="G14" s="27">
        <f t="shared" si="2"/>
        <v>7375</v>
      </c>
      <c r="H14" s="25">
        <f t="shared" si="3"/>
        <v>2375</v>
      </c>
    </row>
    <row r="15" spans="2:8" ht="14.5" x14ac:dyDescent="0.35">
      <c r="B15" s="13" t="s">
        <v>146</v>
      </c>
      <c r="C15" s="21">
        <v>8</v>
      </c>
      <c r="D15" s="24">
        <f>Assumptions!C23</f>
        <v>5000</v>
      </c>
      <c r="E15" s="25">
        <f t="shared" si="0"/>
        <v>2400</v>
      </c>
      <c r="F15" s="25">
        <f t="shared" si="1"/>
        <v>200</v>
      </c>
      <c r="G15" s="27">
        <f t="shared" si="2"/>
        <v>7600</v>
      </c>
      <c r="H15" s="25">
        <f t="shared" si="3"/>
        <v>2600</v>
      </c>
    </row>
    <row r="16" spans="2:8" ht="14.5" x14ac:dyDescent="0.35">
      <c r="B16" s="13" t="s">
        <v>147</v>
      </c>
      <c r="C16" s="21">
        <v>5</v>
      </c>
      <c r="D16" s="24">
        <f>Assumptions!C23</f>
        <v>5000</v>
      </c>
      <c r="E16" s="25">
        <f t="shared" si="0"/>
        <v>2250</v>
      </c>
      <c r="F16" s="25">
        <f t="shared" si="1"/>
        <v>125</v>
      </c>
      <c r="G16" s="27">
        <f t="shared" si="2"/>
        <v>7375</v>
      </c>
      <c r="H16" s="25">
        <f t="shared" si="3"/>
        <v>2375</v>
      </c>
    </row>
    <row r="17" spans="2:8" ht="14.5" x14ac:dyDescent="0.35">
      <c r="B17" s="28" t="s">
        <v>148</v>
      </c>
      <c r="C17" s="29">
        <f t="shared" ref="C17:H17" si="4">SUM(C6:C16)</f>
        <v>345</v>
      </c>
      <c r="D17" s="19">
        <f t="shared" si="4"/>
        <v>55000</v>
      </c>
      <c r="E17" s="19">
        <f t="shared" si="4"/>
        <v>39250</v>
      </c>
      <c r="F17" s="19">
        <f t="shared" si="4"/>
        <v>8625</v>
      </c>
      <c r="G17" s="19">
        <f t="shared" si="4"/>
        <v>102875</v>
      </c>
      <c r="H17" s="19">
        <f t="shared" si="4"/>
        <v>47875</v>
      </c>
    </row>
    <row r="20" spans="2:8" ht="24" customHeight="1" x14ac:dyDescent="0.35">
      <c r="B20" s="5" t="s">
        <v>149</v>
      </c>
      <c r="C20" s="5"/>
      <c r="D20" s="5"/>
      <c r="E20" s="5"/>
      <c r="F20" s="5"/>
      <c r="G20" s="5"/>
      <c r="H20" s="5"/>
    </row>
    <row r="21" spans="2:8" ht="14.5" x14ac:dyDescent="0.35">
      <c r="B21" s="18" t="s">
        <v>150</v>
      </c>
      <c r="C21" s="30">
        <f>SUM(D6:D16)</f>
        <v>55000</v>
      </c>
    </row>
    <row r="22" spans="2:8" ht="14.5" x14ac:dyDescent="0.35">
      <c r="B22" s="18" t="s">
        <v>151</v>
      </c>
      <c r="C22" s="30">
        <f>SUM(H6:H16)</f>
        <v>47875</v>
      </c>
    </row>
    <row r="23" spans="2:8" ht="14.5" x14ac:dyDescent="0.35">
      <c r="B23" s="18" t="s">
        <v>152</v>
      </c>
      <c r="C23" s="31">
        <f>G17/11</f>
        <v>9352.2727272727279</v>
      </c>
    </row>
  </sheetData>
  <mergeCells count="3">
    <mergeCell ref="B2:H2"/>
    <mergeCell ref="B4:H4"/>
    <mergeCell ref="B20:H20"/>
  </mergeCells>
  <conditionalFormatting sqref="C6:C16">
    <cfRule type="dataBar" priority="2">
      <dataBar>
        <cfvo type="min"/>
        <cfvo type="max"/>
        <color rgb="FFA84B2F"/>
      </dataBar>
      <extLst>
        <ext xmlns:x14="http://schemas.microsoft.com/office/spreadsheetml/2009/9/main" uri="{B025F937-C7B1-47D3-B67F-A62EFF666E3E}">
          <x14:id>{47D28A94-7AFC-4E33-942B-E758737E1FFB}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28A94-7AFC-4E33-942B-E758737E1FFB}">
            <x14:dataBar axisPosition="none">
              <x14:cfvo type="min"/>
              <x14:cfvo type="max"/>
              <x14:negativeFillColor rgb="FFA84B2F"/>
            </x14:dataBar>
          </x14:cfRule>
          <xm:sqref>C6:C16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494"/>
    <pageSetUpPr fitToPage="1"/>
  </sheetPr>
  <dimension ref="B2:G3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1" width="3" customWidth="1"/>
    <col min="2" max="2" width="36" customWidth="1"/>
    <col min="3" max="7" width="18" customWidth="1"/>
  </cols>
  <sheetData>
    <row r="2" spans="2:7" ht="36" customHeight="1" x14ac:dyDescent="0.35">
      <c r="B2" s="6" t="s">
        <v>153</v>
      </c>
      <c r="C2" s="6"/>
      <c r="D2" s="6"/>
      <c r="E2" s="6"/>
      <c r="F2" s="6"/>
      <c r="G2" s="6"/>
    </row>
    <row r="4" spans="2:7" ht="24" customHeight="1" x14ac:dyDescent="0.35">
      <c r="B4" s="5" t="s">
        <v>154</v>
      </c>
      <c r="C4" s="5"/>
      <c r="D4" s="5"/>
      <c r="E4" s="5"/>
      <c r="F4" s="5"/>
      <c r="G4" s="5"/>
    </row>
    <row r="5" spans="2:7" ht="27.75" customHeight="1" x14ac:dyDescent="0.35">
      <c r="B5" s="9"/>
      <c r="C5" s="9" t="s">
        <v>155</v>
      </c>
      <c r="D5" s="9" t="s">
        <v>156</v>
      </c>
      <c r="E5" s="9" t="s">
        <v>157</v>
      </c>
      <c r="F5" s="9"/>
      <c r="G5" s="9"/>
    </row>
    <row r="6" spans="2:7" ht="14.5" x14ac:dyDescent="0.35">
      <c r="B6" s="7" t="s">
        <v>158</v>
      </c>
    </row>
    <row r="7" spans="2:7" ht="14.5" x14ac:dyDescent="0.35">
      <c r="B7" s="13" t="s">
        <v>159</v>
      </c>
      <c r="C7" s="32">
        <v>1</v>
      </c>
      <c r="D7" s="32">
        <v>1</v>
      </c>
      <c r="E7" s="32">
        <v>2</v>
      </c>
    </row>
    <row r="8" spans="2:7" ht="14.5" x14ac:dyDescent="0.35">
      <c r="B8" s="13" t="s">
        <v>160</v>
      </c>
      <c r="C8" s="32">
        <v>2</v>
      </c>
      <c r="D8" s="32">
        <v>3</v>
      </c>
      <c r="E8" s="32">
        <v>4</v>
      </c>
    </row>
    <row r="9" spans="2:7" ht="14.5" x14ac:dyDescent="0.35">
      <c r="B9" s="13" t="s">
        <v>161</v>
      </c>
      <c r="C9" s="32">
        <v>3</v>
      </c>
      <c r="D9" s="32">
        <v>5</v>
      </c>
      <c r="E9" s="32">
        <v>6</v>
      </c>
    </row>
    <row r="10" spans="2:7" ht="14.5" x14ac:dyDescent="0.35">
      <c r="B10" s="13" t="s">
        <v>162</v>
      </c>
      <c r="C10" s="32">
        <v>2</v>
      </c>
      <c r="D10" s="32">
        <v>3</v>
      </c>
      <c r="E10" s="32">
        <v>4</v>
      </c>
    </row>
    <row r="11" spans="2:7" ht="14.5" x14ac:dyDescent="0.35">
      <c r="B11" s="28" t="s">
        <v>163</v>
      </c>
      <c r="C11" s="33">
        <f>SUM(C7:C10)</f>
        <v>8</v>
      </c>
      <c r="D11" s="33">
        <f>C11+SUM(D7:D10)</f>
        <v>20</v>
      </c>
      <c r="E11" s="33">
        <f>D11+SUM(E7:E10)</f>
        <v>36</v>
      </c>
    </row>
    <row r="13" spans="2:7" ht="24" customHeight="1" x14ac:dyDescent="0.35">
      <c r="B13" s="5" t="s">
        <v>164</v>
      </c>
      <c r="C13" s="5"/>
      <c r="D13" s="5"/>
      <c r="E13" s="5"/>
      <c r="F13" s="5"/>
      <c r="G13" s="5"/>
    </row>
    <row r="14" spans="2:7" ht="14.5" x14ac:dyDescent="0.35">
      <c r="B14" s="13" t="s">
        <v>165</v>
      </c>
      <c r="C14" s="21">
        <v>75000</v>
      </c>
    </row>
    <row r="15" spans="2:7" ht="14.5" x14ac:dyDescent="0.35">
      <c r="B15" s="13" t="s">
        <v>166</v>
      </c>
      <c r="C15" s="21">
        <v>30000</v>
      </c>
    </row>
    <row r="16" spans="2:7" ht="14.5" x14ac:dyDescent="0.35">
      <c r="B16" s="13" t="s">
        <v>167</v>
      </c>
      <c r="C16" s="21">
        <v>8000</v>
      </c>
    </row>
    <row r="17" spans="2:7" ht="14.5" x14ac:dyDescent="0.35">
      <c r="B17" s="13" t="s">
        <v>168</v>
      </c>
      <c r="C17" s="21">
        <v>1000</v>
      </c>
    </row>
    <row r="19" spans="2:7" ht="24" customHeight="1" x14ac:dyDescent="0.35">
      <c r="B19" s="5" t="s">
        <v>169</v>
      </c>
      <c r="C19" s="5"/>
      <c r="D19" s="5"/>
      <c r="E19" s="5"/>
      <c r="F19" s="5"/>
      <c r="G19" s="5"/>
    </row>
    <row r="20" spans="2:7" ht="27.75" customHeight="1" x14ac:dyDescent="0.35">
      <c r="B20" s="9" t="s">
        <v>170</v>
      </c>
      <c r="C20" s="9" t="s">
        <v>155</v>
      </c>
      <c r="D20" s="9" t="s">
        <v>156</v>
      </c>
      <c r="E20" s="9" t="s">
        <v>157</v>
      </c>
      <c r="F20" s="9"/>
      <c r="G20" s="9"/>
    </row>
    <row r="21" spans="2:7" ht="14.5" x14ac:dyDescent="0.35">
      <c r="B21" s="13" t="s">
        <v>171</v>
      </c>
      <c r="C21" s="25">
        <f>C7*$C$14*'Tier Pricing'!E6</f>
        <v>4050000</v>
      </c>
      <c r="D21" s="25">
        <f>SUM(C7:D7)*$C$14*'Tier Pricing'!E6*(1+Assumptions!C24)^1</f>
        <v>8343000</v>
      </c>
      <c r="E21" s="25">
        <f>SUM(C7:E7)*$C$14*'Tier Pricing'!E6*(1+Assumptions!C24)^2</f>
        <v>17186580</v>
      </c>
    </row>
    <row r="22" spans="2:7" ht="14.5" x14ac:dyDescent="0.35">
      <c r="B22" s="13" t="s">
        <v>172</v>
      </c>
      <c r="C22" s="25">
        <f>C8*$C$15*'Tier Pricing'!E7</f>
        <v>2700000</v>
      </c>
      <c r="D22" s="25">
        <f>SUM(C8:D8)*$C$15*'Tier Pricing'!E7*(1+Assumptions!C24)^1</f>
        <v>6952500</v>
      </c>
      <c r="E22" s="25">
        <f>SUM(C8:E8)*$C$15*'Tier Pricing'!E7*(1+Assumptions!C24)^2</f>
        <v>12889935</v>
      </c>
    </row>
    <row r="23" spans="2:7" ht="14.5" x14ac:dyDescent="0.35">
      <c r="B23" s="13" t="s">
        <v>173</v>
      </c>
      <c r="C23" s="25">
        <f>C9*$C$16*'Tier Pricing'!E8</f>
        <v>849600.00000000012</v>
      </c>
      <c r="D23" s="25">
        <f>SUM(C9:D9)*$C$16*'Tier Pricing'!E8*(1+Assumptions!C24)^1</f>
        <v>2333568.0000000005</v>
      </c>
      <c r="E23" s="25">
        <f>SUM(C9:E9)*$C$16*'Tier Pricing'!E8*(1+Assumptions!C24)^2</f>
        <v>4206256.32</v>
      </c>
    </row>
    <row r="24" spans="2:7" ht="14.5" x14ac:dyDescent="0.35">
      <c r="B24" s="13" t="s">
        <v>174</v>
      </c>
      <c r="C24" s="25">
        <f>C10*$C$17*'Tier Pricing'!E9</f>
        <v>54000</v>
      </c>
      <c r="D24" s="25">
        <f>SUM(C10:D10)*$C$17*'Tier Pricing'!E9*(1+Assumptions!C24)^1</f>
        <v>139050</v>
      </c>
      <c r="E24" s="25">
        <f>SUM(C10:E10)*$C$17*'Tier Pricing'!E9*(1+Assumptions!C24)^2</f>
        <v>257798.69999999998</v>
      </c>
    </row>
    <row r="25" spans="2:7" ht="14.5" x14ac:dyDescent="0.35">
      <c r="B25" s="13" t="s">
        <v>175</v>
      </c>
      <c r="C25" s="25">
        <f>C11*Assumptions!C22</f>
        <v>200000</v>
      </c>
      <c r="D25" s="25">
        <f>D11*Assumptions!C22</f>
        <v>500000</v>
      </c>
      <c r="E25" s="25">
        <f>E11*Assumptions!C22</f>
        <v>900000</v>
      </c>
    </row>
    <row r="26" spans="2:7" ht="14.5" x14ac:dyDescent="0.35">
      <c r="B26" s="13" t="s">
        <v>176</v>
      </c>
      <c r="C26" s="25">
        <f>(SUM(C7:C10))*10*Assumptions!C23</f>
        <v>400000</v>
      </c>
      <c r="D26" s="25">
        <f>(SUM(D7:D10))*10*Assumptions!C23</f>
        <v>600000</v>
      </c>
      <c r="E26" s="25">
        <f>(SUM(E7:E10))*10*Assumptions!C23</f>
        <v>800000</v>
      </c>
    </row>
    <row r="27" spans="2:7" ht="14.5" x14ac:dyDescent="0.35">
      <c r="B27" s="13" t="s">
        <v>177</v>
      </c>
      <c r="C27" s="24">
        <f>C11*'Regional Deploy'!H17/1</f>
        <v>383000</v>
      </c>
      <c r="D27" s="24">
        <f>D11*'Regional Deploy'!H17/1</f>
        <v>957500</v>
      </c>
      <c r="E27" s="24">
        <f>E11*'Regional Deploy'!H17/1</f>
        <v>1723500</v>
      </c>
    </row>
    <row r="28" spans="2:7" ht="14.5" x14ac:dyDescent="0.35">
      <c r="B28" s="28" t="s">
        <v>178</v>
      </c>
      <c r="C28" s="19">
        <f>SUM(C21:C27)</f>
        <v>8636600</v>
      </c>
      <c r="D28" s="19">
        <f>SUM(D21:D27)</f>
        <v>19825618</v>
      </c>
      <c r="E28" s="19">
        <f>SUM(E21:E27)</f>
        <v>37964070.020000003</v>
      </c>
    </row>
    <row r="30" spans="2:7" ht="24" customHeight="1" x14ac:dyDescent="0.35">
      <c r="B30" s="5" t="s">
        <v>179</v>
      </c>
      <c r="C30" s="5"/>
      <c r="D30" s="5"/>
      <c r="E30" s="5"/>
      <c r="F30" s="5"/>
      <c r="G30" s="5"/>
    </row>
    <row r="31" spans="2:7" ht="27.75" customHeight="1" x14ac:dyDescent="0.35">
      <c r="B31" s="9" t="s">
        <v>180</v>
      </c>
      <c r="C31" s="9" t="s">
        <v>155</v>
      </c>
      <c r="D31" s="9" t="s">
        <v>156</v>
      </c>
      <c r="E31" s="9" t="s">
        <v>157</v>
      </c>
      <c r="F31" s="9"/>
      <c r="G31" s="9"/>
    </row>
    <row r="32" spans="2:7" ht="14.5" x14ac:dyDescent="0.35">
      <c r="B32" s="13" t="s">
        <v>181</v>
      </c>
      <c r="C32" s="24">
        <f>Assumptions!C17</f>
        <v>978000</v>
      </c>
      <c r="D32" s="24">
        <f>Assumptions!C17*(1+0.05*1)</f>
        <v>1026900</v>
      </c>
      <c r="E32" s="24">
        <f>Assumptions!C17*(1+0.05*2)</f>
        <v>1075800</v>
      </c>
    </row>
    <row r="33" spans="2:5" ht="14.5" x14ac:dyDescent="0.35">
      <c r="B33" s="13" t="s">
        <v>182</v>
      </c>
      <c r="C33" s="25">
        <f>(C7*$C$14+C8*$C$15+C9*$C$16+C10*$C$17)*Assumptions!C15*12</f>
        <v>289800</v>
      </c>
      <c r="D33" s="25">
        <f>(SUM(C7:D7)*$C$14+SUM(C8:D8)*$C$15+SUM(C9:D9)*$C$16+SUM(C10:D10)*$C$17)*Assumptions!C15*12</f>
        <v>664200</v>
      </c>
      <c r="E33" s="25">
        <f>(SUM(C7:E7)*$C$14+SUM(C8:E8)*$C$15+SUM(C9:E9)*$C$16+SUM(C10:E10)*$C$17)*Assumptions!C15*12</f>
        <v>1243800</v>
      </c>
    </row>
    <row r="34" spans="2:5" ht="14.5" x14ac:dyDescent="0.35">
      <c r="B34" s="13" t="s">
        <v>183</v>
      </c>
      <c r="C34" s="25">
        <f>(SUM(C7:C10))*10*Assumptions!C14</f>
        <v>280000</v>
      </c>
      <c r="D34" s="25">
        <f>(SUM(D7:D10))*10*Assumptions!C14</f>
        <v>420000</v>
      </c>
      <c r="E34" s="25">
        <f>(SUM(E7:E10))*10*Assumptions!C14</f>
        <v>560000</v>
      </c>
    </row>
    <row r="35" spans="2:5" ht="14.5" x14ac:dyDescent="0.35">
      <c r="B35" s="13" t="s">
        <v>184</v>
      </c>
      <c r="C35" s="24">
        <f>'Regional Deploy'!G17</f>
        <v>102875</v>
      </c>
      <c r="D35" s="24">
        <f>'Regional Deploy'!H17*D11</f>
        <v>957500</v>
      </c>
      <c r="E35" s="24">
        <f>'Regional Deploy'!H17*E11</f>
        <v>1723500</v>
      </c>
    </row>
    <row r="36" spans="2:5" ht="14.5" x14ac:dyDescent="0.35">
      <c r="B36" s="28" t="s">
        <v>185</v>
      </c>
      <c r="C36" s="19">
        <f>SUM(C32:C35)</f>
        <v>1650675</v>
      </c>
      <c r="D36" s="19">
        <f>SUM(D32:D35)</f>
        <v>3068600</v>
      </c>
      <c r="E36" s="19">
        <f>SUM(E32:E35)</f>
        <v>4603100</v>
      </c>
    </row>
    <row r="38" spans="2:5" ht="15.5" x14ac:dyDescent="0.35">
      <c r="B38" s="34" t="s">
        <v>186</v>
      </c>
      <c r="C38" s="35">
        <f>C28-C36</f>
        <v>6985925</v>
      </c>
      <c r="D38" s="35">
        <f>D28-D36</f>
        <v>16757018</v>
      </c>
      <c r="E38" s="35">
        <f>E28-E36</f>
        <v>33360970.020000003</v>
      </c>
    </row>
    <row r="39" spans="2:5" ht="14.5" x14ac:dyDescent="0.35">
      <c r="B39" s="18" t="s">
        <v>187</v>
      </c>
      <c r="C39" s="36">
        <f>IF(C28=0,0,C38/C28)</f>
        <v>0.80887444133107933</v>
      </c>
      <c r="D39" s="36">
        <f>IF(D28=0,0,D38/D28)</f>
        <v>0.84522046172785126</v>
      </c>
      <c r="E39" s="36">
        <f>IF(E28=0,0,E38/E28)</f>
        <v>0.87875114555486222</v>
      </c>
    </row>
  </sheetData>
  <mergeCells count="5">
    <mergeCell ref="B2:G2"/>
    <mergeCell ref="B4:G4"/>
    <mergeCell ref="B13:G13"/>
    <mergeCell ref="B19:G19"/>
    <mergeCell ref="B30:G30"/>
  </mergeCells>
  <conditionalFormatting sqref="C38:E38">
    <cfRule type="cellIs" dxfId="1" priority="2" operator="lessThan">
      <formula>0</formula>
    </cfRule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44454"/>
    <pageSetUpPr fitToPage="1"/>
  </sheetPr>
  <dimension ref="B2:G6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1" width="3" customWidth="1"/>
    <col min="2" max="2" width="36" customWidth="1"/>
    <col min="3" max="6" width="18" customWidth="1"/>
    <col min="7" max="7" width="16" customWidth="1"/>
  </cols>
  <sheetData>
    <row r="2" spans="2:7" ht="36" customHeight="1" x14ac:dyDescent="0.35">
      <c r="B2" s="6" t="s">
        <v>188</v>
      </c>
      <c r="C2" s="6"/>
      <c r="D2" s="6"/>
      <c r="E2" s="6"/>
      <c r="F2" s="6"/>
      <c r="G2" s="6"/>
    </row>
    <row r="4" spans="2:7" ht="24" customHeight="1" x14ac:dyDescent="0.35">
      <c r="B4" s="5" t="s">
        <v>189</v>
      </c>
      <c r="C4" s="5"/>
      <c r="D4" s="5"/>
      <c r="E4" s="5"/>
      <c r="F4" s="5"/>
      <c r="G4" s="5"/>
    </row>
    <row r="5" spans="2:7" ht="30" customHeight="1" x14ac:dyDescent="0.35">
      <c r="B5" s="4" t="s">
        <v>190</v>
      </c>
      <c r="C5" s="4"/>
      <c r="D5" s="4"/>
      <c r="E5" s="4"/>
      <c r="F5" s="4"/>
      <c r="G5" s="4"/>
    </row>
    <row r="6" spans="2:7" ht="27.75" customHeight="1" x14ac:dyDescent="0.35">
      <c r="B6" s="9" t="s">
        <v>191</v>
      </c>
      <c r="C6" s="9" t="s">
        <v>95</v>
      </c>
      <c r="D6" s="9" t="s">
        <v>98</v>
      </c>
      <c r="E6" s="9" t="s">
        <v>101</v>
      </c>
      <c r="F6" s="9" t="s">
        <v>104</v>
      </c>
      <c r="G6" s="9"/>
    </row>
    <row r="7" spans="2:7" ht="14.5" x14ac:dyDescent="0.35">
      <c r="B7" s="13" t="s">
        <v>192</v>
      </c>
      <c r="C7" s="37">
        <f>'Tier Pricing'!E6</f>
        <v>54</v>
      </c>
      <c r="D7" s="37">
        <f>'Tier Pricing'!E7</f>
        <v>45</v>
      </c>
      <c r="E7" s="37">
        <f>'Tier Pricing'!E8</f>
        <v>35.400000000000006</v>
      </c>
      <c r="F7" s="37">
        <f>'Tier Pricing'!E9</f>
        <v>27</v>
      </c>
    </row>
    <row r="8" spans="2:7" ht="14.5" x14ac:dyDescent="0.35">
      <c r="B8" s="13" t="s">
        <v>193</v>
      </c>
      <c r="C8" s="37">
        <f>Assumptions!C15*12</f>
        <v>1.7999999999999998</v>
      </c>
      <c r="D8" s="37">
        <f>Assumptions!C15*12</f>
        <v>1.7999999999999998</v>
      </c>
      <c r="E8" s="37">
        <f>Assumptions!C15*12</f>
        <v>1.7999999999999998</v>
      </c>
      <c r="F8" s="37">
        <f>Assumptions!C15*12</f>
        <v>1.7999999999999998</v>
      </c>
    </row>
    <row r="9" spans="2:7" ht="14.5" x14ac:dyDescent="0.35">
      <c r="B9" s="13" t="s">
        <v>194</v>
      </c>
      <c r="C9" s="38">
        <f>C7-C8</f>
        <v>52.2</v>
      </c>
      <c r="D9" s="38">
        <f>D7-D8</f>
        <v>43.2</v>
      </c>
      <c r="E9" s="38">
        <f>E7-E8</f>
        <v>33.600000000000009</v>
      </c>
      <c r="F9" s="38">
        <f>F7-F8</f>
        <v>25.2</v>
      </c>
    </row>
    <row r="10" spans="2:7" ht="14.5" x14ac:dyDescent="0.35">
      <c r="B10" s="13" t="s">
        <v>195</v>
      </c>
      <c r="C10" s="24">
        <f>Assumptions!C17</f>
        <v>978000</v>
      </c>
      <c r="D10" s="24">
        <f>Assumptions!C17</f>
        <v>978000</v>
      </c>
      <c r="E10" s="24">
        <f>Assumptions!C17</f>
        <v>978000</v>
      </c>
      <c r="F10" s="24">
        <f>Assumptions!C17</f>
        <v>978000</v>
      </c>
    </row>
    <row r="11" spans="2:7" ht="14.5" x14ac:dyDescent="0.35">
      <c r="B11" s="13" t="s">
        <v>196</v>
      </c>
      <c r="C11" s="24">
        <f>Assumptions!C22</f>
        <v>25000</v>
      </c>
      <c r="D11" s="24">
        <f>Assumptions!C22</f>
        <v>25000</v>
      </c>
      <c r="E11" s="24">
        <f>Assumptions!C22</f>
        <v>25000</v>
      </c>
      <c r="F11" s="24">
        <f>Assumptions!C22</f>
        <v>25000</v>
      </c>
    </row>
    <row r="13" spans="2:7" ht="15.5" x14ac:dyDescent="0.35">
      <c r="B13" s="39" t="s">
        <v>197</v>
      </c>
      <c r="C13" s="40">
        <f>IF(C9&lt;=0,"N/A",ROUNDUP((C10-C11)/C9,0))</f>
        <v>18257</v>
      </c>
      <c r="D13" s="40">
        <f>IF(D9&lt;=0,"N/A",ROUNDUP((D10-D11)/D9,0))</f>
        <v>22061</v>
      </c>
      <c r="E13" s="40">
        <f>IF(E9&lt;=0,"N/A",ROUNDUP((E10-E11)/E9,0))</f>
        <v>28364</v>
      </c>
      <c r="F13" s="40">
        <f>IF(F9&lt;=0,"N/A",ROUNDUP((F10-F11)/F9,0))</f>
        <v>37818</v>
      </c>
    </row>
    <row r="14" spans="2:7" ht="14.5" x14ac:dyDescent="0.35">
      <c r="B14" s="18" t="s">
        <v>198</v>
      </c>
      <c r="C14" s="41">
        <f>IF(C9&lt;=0,"N/A",ROUNDUP((C10-3*C11)/(3*C9),0))</f>
        <v>5767</v>
      </c>
      <c r="D14" s="41">
        <f>IF(D9&lt;=0,"N/A",ROUNDUP((D10-3*D11)/(3*D9),0))</f>
        <v>6968</v>
      </c>
      <c r="E14" s="41">
        <f>IF(E9&lt;=0,"N/A",ROUNDUP((E10-3*E11)/(3*E9),0))</f>
        <v>8959</v>
      </c>
      <c r="F14" s="41">
        <f>IF(F9&lt;=0,"N/A",ROUNDUP((F10-3*F11)/(3*F9),0))</f>
        <v>11945</v>
      </c>
    </row>
    <row r="15" spans="2:7" ht="14.5" x14ac:dyDescent="0.35">
      <c r="B15" s="18" t="s">
        <v>199</v>
      </c>
      <c r="C15" s="41">
        <f>IF(C9&lt;=0,"N/A",ROUNDUP((C10-5*C11)/(5*C9),0))</f>
        <v>3269</v>
      </c>
      <c r="D15" s="41">
        <f>IF(D9&lt;=0,"N/A",ROUNDUP((D10-5*D11)/(5*D9),0))</f>
        <v>3950</v>
      </c>
      <c r="E15" s="41">
        <f>IF(E9&lt;=0,"N/A",ROUNDUP((E10-5*E11)/(5*E9),0))</f>
        <v>5078</v>
      </c>
      <c r="F15" s="41">
        <f>IF(F9&lt;=0,"N/A",ROUNDUP((F10-5*F11)/(5*F9),0))</f>
        <v>6770</v>
      </c>
    </row>
    <row r="18" spans="2:7" ht="24" customHeight="1" x14ac:dyDescent="0.35">
      <c r="B18" s="5" t="s">
        <v>200</v>
      </c>
      <c r="C18" s="5"/>
      <c r="D18" s="5"/>
      <c r="E18" s="5"/>
      <c r="F18" s="5"/>
      <c r="G18" s="5"/>
    </row>
    <row r="19" spans="2:7" ht="24.75" customHeight="1" x14ac:dyDescent="0.35">
      <c r="B19" s="4" t="s">
        <v>201</v>
      </c>
      <c r="C19" s="4"/>
      <c r="D19" s="4"/>
      <c r="E19" s="4"/>
      <c r="F19" s="4"/>
      <c r="G19" s="4"/>
    </row>
    <row r="20" spans="2:7" ht="27.75" customHeight="1" x14ac:dyDescent="0.35">
      <c r="B20" s="9" t="s">
        <v>110</v>
      </c>
      <c r="C20" s="9" t="s">
        <v>202</v>
      </c>
      <c r="D20" s="9" t="s">
        <v>203</v>
      </c>
      <c r="E20" s="9" t="s">
        <v>204</v>
      </c>
      <c r="F20" s="9" t="s">
        <v>205</v>
      </c>
      <c r="G20" s="9" t="s">
        <v>206</v>
      </c>
    </row>
    <row r="21" spans="2:7" ht="14.5" x14ac:dyDescent="0.35">
      <c r="B21" s="21">
        <v>200</v>
      </c>
      <c r="C21" s="25">
        <f>Assumptions!C22+B21*'Tier Pricing'!E6</f>
        <v>35800</v>
      </c>
      <c r="D21" s="25">
        <f>Assumptions!C22+B21*'Tier Pricing'!E7</f>
        <v>34000</v>
      </c>
      <c r="E21" s="25">
        <f>Assumptions!C22+B21*'Tier Pricing'!E8</f>
        <v>32080</v>
      </c>
      <c r="F21" s="25">
        <f>Assumptions!C22+B21*'Tier Pricing'!E9</f>
        <v>30400</v>
      </c>
      <c r="G21" s="25">
        <f>Assumptions!C17/3+B21*Assumptions!C15*12</f>
        <v>326360</v>
      </c>
    </row>
    <row r="22" spans="2:7" ht="14.5" x14ac:dyDescent="0.35">
      <c r="B22" s="21">
        <v>500</v>
      </c>
      <c r="C22" s="25">
        <f>Assumptions!C22+B22*'Tier Pricing'!E6</f>
        <v>52000</v>
      </c>
      <c r="D22" s="25">
        <f>Assumptions!C22+B22*'Tier Pricing'!E7</f>
        <v>47500</v>
      </c>
      <c r="E22" s="25">
        <f>Assumptions!C22+B22*'Tier Pricing'!E8</f>
        <v>42700</v>
      </c>
      <c r="F22" s="25">
        <f>Assumptions!C22+B22*'Tier Pricing'!E9</f>
        <v>38500</v>
      </c>
      <c r="G22" s="25">
        <f>Assumptions!C17/3+B22*Assumptions!C15*12</f>
        <v>326900</v>
      </c>
    </row>
    <row r="23" spans="2:7" ht="14.5" x14ac:dyDescent="0.35">
      <c r="B23" s="21">
        <v>1000</v>
      </c>
      <c r="C23" s="25">
        <f>Assumptions!C22+B23*'Tier Pricing'!E6</f>
        <v>79000</v>
      </c>
      <c r="D23" s="25">
        <f>Assumptions!C22+B23*'Tier Pricing'!E7</f>
        <v>70000</v>
      </c>
      <c r="E23" s="25">
        <f>Assumptions!C22+B23*'Tier Pricing'!E8</f>
        <v>60400.000000000007</v>
      </c>
      <c r="F23" s="25">
        <f>Assumptions!C22+B23*'Tier Pricing'!E9</f>
        <v>52000</v>
      </c>
      <c r="G23" s="25">
        <f>Assumptions!C17/3+B23*Assumptions!C15*12</f>
        <v>327800</v>
      </c>
    </row>
    <row r="24" spans="2:7" ht="14.5" x14ac:dyDescent="0.35">
      <c r="B24" s="21">
        <v>2000</v>
      </c>
      <c r="C24" s="25">
        <f>Assumptions!C22+B24*'Tier Pricing'!E6</f>
        <v>133000</v>
      </c>
      <c r="D24" s="25">
        <f>Assumptions!C22+B24*'Tier Pricing'!E7</f>
        <v>115000</v>
      </c>
      <c r="E24" s="25">
        <f>Assumptions!C22+B24*'Tier Pricing'!E8</f>
        <v>95800.000000000015</v>
      </c>
      <c r="F24" s="25">
        <f>Assumptions!C22+B24*'Tier Pricing'!E9</f>
        <v>79000</v>
      </c>
      <c r="G24" s="25">
        <f>Assumptions!C17/3+B24*Assumptions!C15*12</f>
        <v>329600</v>
      </c>
    </row>
    <row r="25" spans="2:7" ht="14.5" x14ac:dyDescent="0.35">
      <c r="B25" s="21">
        <v>5000</v>
      </c>
      <c r="C25" s="25">
        <f>Assumptions!C22+B25*'Tier Pricing'!E6</f>
        <v>295000</v>
      </c>
      <c r="D25" s="25">
        <f>Assumptions!C22+B25*'Tier Pricing'!E7</f>
        <v>250000</v>
      </c>
      <c r="E25" s="25">
        <f>Assumptions!C22+B25*'Tier Pricing'!E8</f>
        <v>202000.00000000003</v>
      </c>
      <c r="F25" s="25">
        <f>Assumptions!C22+B25*'Tier Pricing'!E9</f>
        <v>160000</v>
      </c>
      <c r="G25" s="25">
        <f>Assumptions!C17/3+B25*Assumptions!C15*12</f>
        <v>335000</v>
      </c>
    </row>
    <row r="26" spans="2:7" ht="14.5" x14ac:dyDescent="0.35">
      <c r="B26" s="21">
        <v>10000</v>
      </c>
      <c r="C26" s="25">
        <f>Assumptions!C22+B26*'Tier Pricing'!E6</f>
        <v>565000</v>
      </c>
      <c r="D26" s="25">
        <f>Assumptions!C22+B26*'Tier Pricing'!E7</f>
        <v>475000</v>
      </c>
      <c r="E26" s="25">
        <f>Assumptions!C22+B26*'Tier Pricing'!E8</f>
        <v>379000.00000000006</v>
      </c>
      <c r="F26" s="25">
        <f>Assumptions!C22+B26*'Tier Pricing'!E9</f>
        <v>295000</v>
      </c>
      <c r="G26" s="25">
        <f>Assumptions!C17/3+B26*Assumptions!C15*12</f>
        <v>344000</v>
      </c>
    </row>
    <row r="27" spans="2:7" ht="14.5" x14ac:dyDescent="0.35">
      <c r="B27" s="21">
        <v>15000</v>
      </c>
      <c r="C27" s="25">
        <f>Assumptions!C22+B27*'Tier Pricing'!E6</f>
        <v>835000</v>
      </c>
      <c r="D27" s="25">
        <f>Assumptions!C22+B27*'Tier Pricing'!E7</f>
        <v>700000</v>
      </c>
      <c r="E27" s="25">
        <f>Assumptions!C22+B27*'Tier Pricing'!E8</f>
        <v>556000.00000000012</v>
      </c>
      <c r="F27" s="25">
        <f>Assumptions!C22+B27*'Tier Pricing'!E9</f>
        <v>430000</v>
      </c>
      <c r="G27" s="25">
        <f>Assumptions!C17/3+B27*Assumptions!C15*12</f>
        <v>353000</v>
      </c>
    </row>
    <row r="28" spans="2:7" ht="14.5" x14ac:dyDescent="0.35">
      <c r="B28" s="21">
        <v>25000</v>
      </c>
      <c r="C28" s="25">
        <f>Assumptions!C22+B28*'Tier Pricing'!E6</f>
        <v>1375000</v>
      </c>
      <c r="D28" s="25">
        <f>Assumptions!C22+B28*'Tier Pricing'!E7</f>
        <v>1150000</v>
      </c>
      <c r="E28" s="25">
        <f>Assumptions!C22+B28*'Tier Pricing'!E8</f>
        <v>910000.00000000012</v>
      </c>
      <c r="F28" s="25">
        <f>Assumptions!C22+B28*'Tier Pricing'!E9</f>
        <v>700000</v>
      </c>
      <c r="G28" s="25">
        <f>Assumptions!C17/3+B28*Assumptions!C15*12</f>
        <v>371000</v>
      </c>
    </row>
    <row r="29" spans="2:7" ht="14.5" x14ac:dyDescent="0.35">
      <c r="B29" s="21">
        <v>50000</v>
      </c>
      <c r="C29" s="25">
        <f>Assumptions!C22+B29*'Tier Pricing'!E6</f>
        <v>2725000</v>
      </c>
      <c r="D29" s="25">
        <f>Assumptions!C22+B29*'Tier Pricing'!E7</f>
        <v>2275000</v>
      </c>
      <c r="E29" s="25">
        <f>Assumptions!C22+B29*'Tier Pricing'!E8</f>
        <v>1795000.0000000002</v>
      </c>
      <c r="F29" s="25">
        <f>Assumptions!C22+B29*'Tier Pricing'!E9</f>
        <v>1375000</v>
      </c>
      <c r="G29" s="25">
        <f>Assumptions!C17/3+B29*Assumptions!C15*12</f>
        <v>416000</v>
      </c>
    </row>
    <row r="30" spans="2:7" ht="14.5" x14ac:dyDescent="0.35">
      <c r="B30" s="21">
        <v>75000</v>
      </c>
      <c r="C30" s="25">
        <f>Assumptions!C22+B30*'Tier Pricing'!E6</f>
        <v>4075000</v>
      </c>
      <c r="D30" s="25">
        <f>Assumptions!C22+B30*'Tier Pricing'!E7</f>
        <v>3400000</v>
      </c>
      <c r="E30" s="25">
        <f>Assumptions!C22+B30*'Tier Pricing'!E8</f>
        <v>2680000.0000000005</v>
      </c>
      <c r="F30" s="25">
        <f>Assumptions!C22+B30*'Tier Pricing'!E9</f>
        <v>2050000</v>
      </c>
      <c r="G30" s="25">
        <f>Assumptions!C17/3+B30*Assumptions!C15*12</f>
        <v>461000</v>
      </c>
    </row>
    <row r="31" spans="2:7" ht="14.5" x14ac:dyDescent="0.35">
      <c r="B31" s="21">
        <v>100000</v>
      </c>
      <c r="C31" s="25">
        <f>Assumptions!C22+B31*'Tier Pricing'!E6</f>
        <v>5425000</v>
      </c>
      <c r="D31" s="25">
        <f>Assumptions!C22+B31*'Tier Pricing'!E7</f>
        <v>4525000</v>
      </c>
      <c r="E31" s="25">
        <f>Assumptions!C22+B31*'Tier Pricing'!E8</f>
        <v>3565000.0000000005</v>
      </c>
      <c r="F31" s="25">
        <f>Assumptions!C22+B31*'Tier Pricing'!E9</f>
        <v>2725000</v>
      </c>
      <c r="G31" s="25">
        <f>Assumptions!C17/3+B31*Assumptions!C15*12</f>
        <v>506000</v>
      </c>
    </row>
    <row r="60" spans="2:7" ht="34.5" customHeight="1" x14ac:dyDescent="0.35">
      <c r="B60" s="4" t="s">
        <v>207</v>
      </c>
      <c r="C60" s="4"/>
      <c r="D60" s="4"/>
      <c r="E60" s="4"/>
      <c r="F60" s="4"/>
      <c r="G60" s="4"/>
    </row>
    <row r="61" spans="2:7" ht="14.5" x14ac:dyDescent="0.35">
      <c r="B61" s="12" t="s">
        <v>208</v>
      </c>
    </row>
  </sheetData>
  <mergeCells count="6">
    <mergeCell ref="B60:G60"/>
    <mergeCell ref="B2:G2"/>
    <mergeCell ref="B4:G4"/>
    <mergeCell ref="B5:G5"/>
    <mergeCell ref="B18:G18"/>
    <mergeCell ref="B19:G19"/>
  </mergeCells>
  <conditionalFormatting sqref="C21:F31">
    <cfRule type="colorScale" priority="2">
      <colorScale>
        <cfvo type="min"/>
        <cfvo type="max"/>
        <color rgb="FFFFF2CC"/>
        <color rgb="FF20808D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2F5D58F337146B586EFCC1BC1E2DC" ma:contentTypeVersion="18" ma:contentTypeDescription="Create a new document." ma:contentTypeScope="" ma:versionID="0359833d88757d9880c8f26ee412a247">
  <xsd:schema xmlns:xsd="http://www.w3.org/2001/XMLSchema" xmlns:xs="http://www.w3.org/2001/XMLSchema" xmlns:p="http://schemas.microsoft.com/office/2006/metadata/properties" xmlns:ns2="aa2baed1-8ae8-4714-ad2f-501fbae64f8c" xmlns:ns3="d9b512b7-711e-47a8-8013-d44805c23ec4" targetNamespace="http://schemas.microsoft.com/office/2006/metadata/properties" ma:root="true" ma:fieldsID="79d8811a4999c0df633aa5ff0de018da" ns2:_="" ns3:_="">
    <xsd:import namespace="aa2baed1-8ae8-4714-ad2f-501fbae64f8c"/>
    <xsd:import namespace="d9b512b7-711e-47a8-8013-d44805c23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baed1-8ae8-4714-ad2f-501fbae64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599ac54-8598-4733-b2b5-e6954875e5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512b7-711e-47a8-8013-d44805c23ec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7b2ad6-255e-48f1-a3bf-c9d29994c778}" ma:internalName="TaxCatchAll" ma:showField="CatchAllData" ma:web="d9b512b7-711e-47a8-8013-d44805c23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b512b7-711e-47a8-8013-d44805c23ec4" xsi:nil="true"/>
    <lcf76f155ced4ddcb4097134ff3c332f xmlns="aa2baed1-8ae8-4714-ad2f-501fbae64f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B8F225-D380-4C30-B567-68A5E1E773AD}"/>
</file>

<file path=customXml/itemProps2.xml><?xml version="1.0" encoding="utf-8"?>
<ds:datastoreItem xmlns:ds="http://schemas.openxmlformats.org/officeDocument/2006/customXml" ds:itemID="{73725DD5-CF19-4CF9-B783-D29DACEFD83F}"/>
</file>

<file path=customXml/itemProps3.xml><?xml version="1.0" encoding="utf-8"?>
<ds:datastoreItem xmlns:ds="http://schemas.openxmlformats.org/officeDocument/2006/customXml" ds:itemID="{F267DDF5-10FC-40D2-9890-78470575F1C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Assumptions</vt:lpstr>
      <vt:lpstr>Tier Pricing</vt:lpstr>
      <vt:lpstr>Regional Deploy</vt:lpstr>
      <vt:lpstr>Revenue Model</vt:lpstr>
      <vt:lpstr>Breakeven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Michel Nungisa</cp:lastModifiedBy>
  <cp:revision>1</cp:revision>
  <dcterms:created xsi:type="dcterms:W3CDTF">2026-04-02T02:17:51Z</dcterms:created>
  <dcterms:modified xsi:type="dcterms:W3CDTF">2026-04-04T09:57:17Z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0x0101003672F5D58F337146B586EFCC1BC1E2DC</vt:lpwstr>
  </property>
</Properties>
</file>